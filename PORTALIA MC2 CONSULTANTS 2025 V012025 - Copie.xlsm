
<file path=[Content_Types].xml><?xml version="1.0" encoding="utf-8"?>
<Types xmlns="http://schemas.openxmlformats.org/package/2006/content-types">
  <Default Extension="bin" ContentType="application/vnd.openxmlformats-officedocument.spreadsheetml.customProperty"/>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printerSettings/printerSettings1.bin" ContentType="application/vnd.openxmlformats-officedocument.spreadsheetml.printerSettings"/>
  <Override PartName="/xl/drawings/drawing2.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printerSettings/printerSettings2.bin" ContentType="application/vnd.openxmlformats-officedocument.spreadsheetml.printerSettings"/>
  <Override PartName="/xl/drawings/drawing3.xml" ContentType="application/vnd.openxmlformats-officedocument.drawing+xml"/>
  <Override PartName="/xl/ctrlProps/ctrlProp2.xml" ContentType="application/vnd.ms-excel.controlproperties+xml"/>
  <Override PartName="/xl/printerSettings/printerSettings3.bin" ContentType="application/vnd.openxmlformats-officedocument.spreadsheetml.printerSettings"/>
  <Override PartName="/xl/drawings/drawing4.xml" ContentType="application/vnd.openxmlformats-officedocument.drawing+xml"/>
  <Override PartName="/xl/printerSettings/printerSettings4.bin" ContentType="application/vnd.openxmlformats-officedocument.spreadsheetml.printerSettings"/>
  <Override PartName="/xl/tables/table1.xml" ContentType="application/vnd.openxmlformats-officedocument.spreadsheetml.table+xml"/>
  <Override PartName="/xl/tables/table2.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7932" codeName="{372AB895-14C1-FC20-EB20-F1B4BCFD95AE}"/>
  <workbookPr codeName="ThisWorkbook"/>
  <mc:AlternateContent xmlns:mc="http://schemas.openxmlformats.org/markup-compatibility/2006">
    <mc:Choice Requires="x15">
      <x15ac:absPath xmlns:x15ac="http://schemas.microsoft.com/office/spreadsheetml/2010/11/ac" url="C:\Users\user\Documents\ESILV_année_4\PI2_3\pi2\"/>
    </mc:Choice>
  </mc:AlternateContent>
  <xr:revisionPtr revIDLastSave="0" documentId="13_ncr:1_{A0DF67B3-F07C-41CE-B137-DE91F33637E2}" xr6:coauthVersionLast="47" xr6:coauthVersionMax="47" xr10:uidLastSave="{00000000-0000-0000-0000-000000000000}"/>
  <bookViews>
    <workbookView xWindow="-108" yWindow="-108" windowWidth="23256" windowHeight="12456" tabRatio="798" activeTab="6" xr2:uid="{00000000-000D-0000-FFFF-FFFF00000000}"/>
  </bookViews>
  <sheets>
    <sheet name="HOW TO USE" sheetId="7" r:id="rId1"/>
    <sheet name="1. Calcul Avec prov" sheetId="1" r:id="rId2"/>
    <sheet name="2. Calcul Sans prov" sheetId="3" r:id="rId3"/>
    <sheet name="3. Template" sheetId="6" r:id="rId4"/>
    <sheet name="Glossaire" sheetId="12" r:id="rId5"/>
    <sheet name="BS . Avec prov" sheetId="2" r:id="rId6"/>
    <sheet name="BS . Sans prov" sheetId="4" r:id="rId7"/>
  </sheets>
  <definedNames>
    <definedName name="PLA">'3. Template'!#REF!</definedName>
    <definedName name="t_corresp_com">#REF!</definedName>
    <definedName name="tx_taxe_transport">'1. Calcul Avec prov'!$M$27</definedName>
    <definedName name="_xlnm.Print_Area" localSheetId="3">'3. Template'!$A$1:$E$44</definedName>
  </definedNames>
  <calcPr calcId="191028" iterate="1" iterateDelta="1" calcOnSave="0"/>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E16" i="6" l="1"/>
  <c r="E15" i="6"/>
  <c r="C3" i="6"/>
  <c r="C2" i="6"/>
  <c r="J21" i="1"/>
  <c r="G29" i="4"/>
  <c r="V9" i="4"/>
  <c r="X9" i="2"/>
  <c r="D6" i="4"/>
  <c r="D6" i="2"/>
  <c r="F36" i="4"/>
  <c r="F36" i="2"/>
  <c r="G29" i="2"/>
  <c r="M26" i="1" l="1"/>
  <c r="M27" i="1"/>
  <c r="M25" i="1"/>
  <c r="F37" i="4" l="1"/>
  <c r="F37" i="2"/>
  <c r="C7" i="6" l="1"/>
  <c r="C8" i="6"/>
  <c r="D11" i="6"/>
  <c r="E12" i="6"/>
  <c r="E13" i="6"/>
  <c r="E24" i="6"/>
  <c r="M10" i="1"/>
  <c r="K4" i="1" l="1"/>
  <c r="J4" i="3" l="1"/>
  <c r="J7" i="3"/>
  <c r="C29" i="2" l="1"/>
  <c r="N23" i="2" l="1"/>
  <c r="N24" i="2" l="1"/>
  <c r="M17" i="1"/>
  <c r="J18" i="3"/>
  <c r="J5" i="3"/>
  <c r="J16" i="3"/>
  <c r="M16" i="3" s="1"/>
  <c r="J22" i="3"/>
  <c r="E29" i="2" l="1"/>
  <c r="E29" i="4"/>
  <c r="L34" i="4"/>
  <c r="J20" i="3" l="1"/>
  <c r="C29" i="4" l="1"/>
  <c r="C10" i="4"/>
  <c r="C9" i="4"/>
  <c r="C8" i="4"/>
  <c r="C7" i="4"/>
  <c r="C6" i="4"/>
  <c r="C5" i="4"/>
  <c r="E6" i="4" l="1"/>
  <c r="M12" i="1" l="1"/>
  <c r="E18" i="6" s="1"/>
  <c r="J11" i="3" l="1"/>
  <c r="M11" i="3" s="1"/>
  <c r="E49" i="2" l="1"/>
  <c r="J13" i="1"/>
  <c r="E21" i="6" s="1"/>
  <c r="C46" i="2"/>
  <c r="C45" i="2"/>
  <c r="E48" i="2"/>
  <c r="C5" i="2"/>
  <c r="E30" i="6" l="1"/>
  <c r="C50" i="2"/>
  <c r="C54" i="2"/>
  <c r="C53" i="2"/>
  <c r="C52" i="2"/>
  <c r="C47" i="2"/>
  <c r="C43" i="2"/>
  <c r="C7" i="2"/>
  <c r="C9" i="2"/>
  <c r="C8" i="2"/>
  <c r="C6" i="2"/>
  <c r="E6" i="2" s="1"/>
  <c r="C10" i="2"/>
  <c r="J12" i="3" l="1"/>
  <c r="M12" i="3" s="1"/>
  <c r="M13" i="1" l="1"/>
  <c r="E46" i="2" l="1"/>
  <c r="D46" i="2" s="1"/>
  <c r="J6" i="3"/>
  <c r="B5" i="3"/>
  <c r="E5" i="4" l="1"/>
  <c r="D5" i="4" s="1"/>
  <c r="D7" i="4" s="1"/>
  <c r="E7" i="4" s="1"/>
  <c r="M7" i="3"/>
  <c r="M6" i="3"/>
  <c r="M9" i="3"/>
  <c r="M8" i="3"/>
  <c r="B5" i="1"/>
  <c r="E26" i="6" s="1"/>
  <c r="D8" i="4" l="1"/>
  <c r="D9" i="4" s="1"/>
  <c r="E5" i="2"/>
  <c r="D5" i="2" s="1"/>
  <c r="D7" i="2" s="1"/>
  <c r="D8" i="2" s="1"/>
  <c r="D9" i="2" s="1"/>
  <c r="J6" i="1"/>
  <c r="E9" i="6" s="1"/>
  <c r="E8" i="4" l="1"/>
  <c r="E9" i="4"/>
  <c r="D10" i="4"/>
  <c r="E7" i="2"/>
  <c r="D10" i="2"/>
  <c r="M8" i="1"/>
  <c r="M6" i="1"/>
  <c r="M7" i="1"/>
  <c r="E10" i="6" s="1"/>
  <c r="M9" i="1" l="1"/>
  <c r="E23" i="6" s="1"/>
  <c r="J13" i="3"/>
  <c r="J14" i="3" s="1"/>
  <c r="E10" i="4"/>
  <c r="C38" i="4" l="1"/>
  <c r="G38" i="4" s="1"/>
  <c r="V7" i="4"/>
  <c r="V8" i="4" s="1"/>
  <c r="C18" i="4"/>
  <c r="E18" i="4" s="1"/>
  <c r="C36" i="4"/>
  <c r="C37" i="4"/>
  <c r="E37" i="4" s="1"/>
  <c r="C28" i="4"/>
  <c r="C32" i="4"/>
  <c r="E32" i="4" s="1"/>
  <c r="C34" i="4"/>
  <c r="G34" i="4" s="1"/>
  <c r="C16" i="4"/>
  <c r="G16" i="4" s="1"/>
  <c r="C31" i="4"/>
  <c r="G31" i="4" s="1"/>
  <c r="C15" i="4"/>
  <c r="C21" i="4" s="1"/>
  <c r="C17" i="4"/>
  <c r="G17" i="4" s="1"/>
  <c r="C13" i="4"/>
  <c r="E13" i="4" s="1"/>
  <c r="C14" i="4"/>
  <c r="G14" i="4" s="1"/>
  <c r="C23" i="4"/>
  <c r="G23" i="4" s="1"/>
  <c r="C33" i="4"/>
  <c r="E33" i="4" s="1"/>
  <c r="C25" i="4"/>
  <c r="G25" i="4" s="1"/>
  <c r="C12" i="4"/>
  <c r="F12" i="4" s="1"/>
  <c r="G12" i="4" s="1"/>
  <c r="C35" i="4"/>
  <c r="E35" i="4" s="1"/>
  <c r="C19" i="4" l="1"/>
  <c r="C20" i="4" s="1"/>
  <c r="C22" i="4" s="1"/>
  <c r="G37" i="4"/>
  <c r="G32" i="4"/>
  <c r="G28" i="4"/>
  <c r="E28" i="4"/>
  <c r="E16" i="4"/>
  <c r="E38" i="4"/>
  <c r="C24" i="4"/>
  <c r="E17" i="4"/>
  <c r="E31" i="4"/>
  <c r="E34" i="4"/>
  <c r="G15" i="4"/>
  <c r="E14" i="4"/>
  <c r="E15" i="4"/>
  <c r="G13" i="4"/>
  <c r="E12" i="4"/>
  <c r="G35" i="4"/>
  <c r="G33" i="4"/>
  <c r="E23" i="4"/>
  <c r="G18" i="4"/>
  <c r="E25" i="4"/>
  <c r="E21" i="4"/>
  <c r="G21" i="4"/>
  <c r="G24" i="4" l="1"/>
  <c r="C27" i="4"/>
  <c r="E19" i="4"/>
  <c r="G36" i="4"/>
  <c r="E24" i="4"/>
  <c r="G19" i="4"/>
  <c r="E20" i="4"/>
  <c r="E22" i="4"/>
  <c r="G20" i="4"/>
  <c r="C26" i="4"/>
  <c r="G26" i="4" s="1"/>
  <c r="E27" i="4" l="1"/>
  <c r="G27" i="4"/>
  <c r="E36" i="4"/>
  <c r="G22" i="4"/>
  <c r="E26" i="4"/>
  <c r="E9" i="2"/>
  <c r="E8" i="2"/>
  <c r="C40" i="4" l="1"/>
  <c r="C39" i="4" s="1"/>
  <c r="G39" i="4" s="1"/>
  <c r="E30" i="4"/>
  <c r="G30" i="4" s="1"/>
  <c r="G40" i="4"/>
  <c r="E39" i="4"/>
  <c r="E42" i="4" s="1"/>
  <c r="E10" i="2"/>
  <c r="E40" i="4" l="1"/>
  <c r="C38" i="2"/>
  <c r="G38" i="2" s="1"/>
  <c r="X7" i="2"/>
  <c r="X8" i="2" s="1"/>
  <c r="C18" i="2"/>
  <c r="E18" i="2" s="1"/>
  <c r="G43" i="4"/>
  <c r="C37" i="2"/>
  <c r="C36" i="2"/>
  <c r="C35" i="2"/>
  <c r="G35" i="2" s="1"/>
  <c r="E41" i="4"/>
  <c r="E43" i="4" s="1"/>
  <c r="E45" i="4" s="1"/>
  <c r="C34" i="2"/>
  <c r="G34" i="2" s="1"/>
  <c r="C17" i="2"/>
  <c r="E17" i="2" s="1"/>
  <c r="C13" i="2"/>
  <c r="C16" i="2"/>
  <c r="G16" i="2" s="1"/>
  <c r="C31" i="2"/>
  <c r="E31" i="2" s="1"/>
  <c r="C28" i="2"/>
  <c r="G28" i="2" s="1"/>
  <c r="C32" i="2"/>
  <c r="G32" i="2" s="1"/>
  <c r="C15" i="2"/>
  <c r="C21" i="2" s="1"/>
  <c r="C25" i="2"/>
  <c r="E25" i="2" s="1"/>
  <c r="C33" i="2"/>
  <c r="E33" i="2" s="1"/>
  <c r="C14" i="2"/>
  <c r="G14" i="2" s="1"/>
  <c r="C12" i="2"/>
  <c r="C23" i="2"/>
  <c r="G23" i="2" s="1"/>
  <c r="E37" i="2" l="1"/>
  <c r="G37" i="2"/>
  <c r="G36" i="2"/>
  <c r="E36" i="2"/>
  <c r="C19" i="2"/>
  <c r="B6" i="3"/>
  <c r="E44" i="4"/>
  <c r="C51" i="4"/>
  <c r="H43" i="4"/>
  <c r="E47" i="4"/>
  <c r="B7" i="3"/>
  <c r="C50" i="4"/>
  <c r="E34" i="2"/>
  <c r="G17" i="2"/>
  <c r="E12" i="2"/>
  <c r="F12" i="2"/>
  <c r="G12" i="2" s="1"/>
  <c r="G13" i="2"/>
  <c r="E13" i="2"/>
  <c r="G31" i="2"/>
  <c r="E16" i="2"/>
  <c r="E32" i="2"/>
  <c r="E28" i="2"/>
  <c r="E38" i="2"/>
  <c r="G33" i="2"/>
  <c r="G25" i="2"/>
  <c r="E35" i="2"/>
  <c r="G15" i="2"/>
  <c r="E15" i="2"/>
  <c r="C24" i="2"/>
  <c r="C27" i="2" s="1"/>
  <c r="E14" i="2"/>
  <c r="E23" i="2"/>
  <c r="G18" i="2"/>
  <c r="G21" i="2"/>
  <c r="E21" i="2"/>
  <c r="E19" i="2" l="1"/>
  <c r="G19" i="2"/>
  <c r="C20" i="2"/>
  <c r="C22" i="2" s="1"/>
  <c r="B10" i="3"/>
  <c r="B11" i="3" s="1"/>
  <c r="K18" i="3"/>
  <c r="E48" i="4" s="1"/>
  <c r="B9" i="3"/>
  <c r="E53" i="2" s="1"/>
  <c r="E46" i="4"/>
  <c r="E24" i="2"/>
  <c r="G24" i="2"/>
  <c r="G27" i="2"/>
  <c r="E27" i="2"/>
  <c r="C40" i="2" l="1"/>
  <c r="E30" i="2"/>
  <c r="G30" i="2" s="1"/>
  <c r="E54" i="2"/>
  <c r="C26" i="2"/>
  <c r="E20" i="2"/>
  <c r="G20" i="2"/>
  <c r="B12" i="3"/>
  <c r="D53" i="2"/>
  <c r="G40" i="2"/>
  <c r="G22" i="2" l="1"/>
  <c r="E22" i="2"/>
  <c r="E26" i="2"/>
  <c r="G26" i="2"/>
  <c r="C59" i="2"/>
  <c r="D54" i="2"/>
  <c r="C39" i="2"/>
  <c r="E39" i="2" s="1"/>
  <c r="E40" i="2"/>
  <c r="G39" i="2" l="1"/>
  <c r="E42" i="2"/>
  <c r="E41" i="2"/>
  <c r="G43" i="2" l="1"/>
  <c r="E43" i="2"/>
  <c r="E29" i="6" s="1"/>
  <c r="E27" i="6" l="1"/>
  <c r="E47" i="2"/>
  <c r="H43" i="2"/>
  <c r="C56" i="2"/>
  <c r="C57" i="2"/>
  <c r="J14" i="1" s="1"/>
  <c r="E50" i="2"/>
  <c r="D50" i="2" s="1"/>
  <c r="B7" i="1"/>
  <c r="F43" i="2"/>
  <c r="B6" i="1"/>
  <c r="D43" i="2"/>
  <c r="E45" i="2"/>
  <c r="E44" i="2"/>
  <c r="K19" i="1" s="1"/>
  <c r="J15" i="1" l="1"/>
  <c r="E25" i="6"/>
  <c r="E52" i="2"/>
  <c r="E32" i="6" s="1"/>
  <c r="E28" i="6"/>
  <c r="E31" i="6" s="1"/>
  <c r="B10" i="1"/>
  <c r="E51" i="2"/>
  <c r="B9" i="1"/>
  <c r="D45" i="2"/>
  <c r="D47" i="2"/>
  <c r="E34" i="6" l="1"/>
  <c r="B12" i="1"/>
  <c r="D52" i="2"/>
  <c r="B11" i="1"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ANARCY</author>
    <author>GUIBERT Corinne</author>
  </authors>
  <commentList>
    <comment ref="J5" authorId="0" shapeId="0" xr:uid="{00000000-0006-0000-0100-000001000000}">
      <text>
        <r>
          <rPr>
            <b/>
            <sz val="9"/>
            <color indexed="81"/>
            <rFont val="Tahoma"/>
            <family val="2"/>
          </rPr>
          <t>ANARCY:</t>
        </r>
        <r>
          <rPr>
            <sz val="9"/>
            <color indexed="81"/>
            <rFont val="Tahoma"/>
            <family val="2"/>
          </rPr>
          <t xml:space="preserve">
choisir de preference 18 jours</t>
        </r>
      </text>
    </comment>
    <comment ref="J8" authorId="0" shapeId="0" xr:uid="{00000000-0006-0000-0100-000002000000}">
      <text>
        <r>
          <rPr>
            <b/>
            <sz val="9"/>
            <color indexed="81"/>
            <rFont val="Tahoma"/>
            <family val="2"/>
          </rPr>
          <t>ANARCY:</t>
        </r>
        <r>
          <rPr>
            <sz val="9"/>
            <color indexed="81"/>
            <rFont val="Tahoma"/>
            <family val="2"/>
          </rPr>
          <t xml:space="preserve">
Si CDD, mettre a 0%</t>
        </r>
      </text>
    </comment>
    <comment ref="J9" authorId="1" shapeId="0" xr:uid="{00000000-0006-0000-0100-000003000000}">
      <text>
        <r>
          <rPr>
            <b/>
            <sz val="9"/>
            <color indexed="81"/>
            <rFont val="Tahoma"/>
            <family val="2"/>
          </rPr>
          <t>GUIBERT Corinne:</t>
        </r>
        <r>
          <rPr>
            <sz val="9"/>
            <color indexed="81"/>
            <rFont val="Tahoma"/>
            <family val="2"/>
          </rPr>
          <t xml:space="preserve">
si CDD mettre 0%
si CDI mettre le taux negocié
</t>
        </r>
      </text>
    </comment>
    <comment ref="J10" authorId="1" shapeId="0" xr:uid="{00000000-0006-0000-0100-000004000000}">
      <text>
        <r>
          <rPr>
            <b/>
            <sz val="9"/>
            <color indexed="81"/>
            <rFont val="Tahoma"/>
            <family val="2"/>
          </rPr>
          <t>GUIBERT Corinne:</t>
        </r>
        <r>
          <rPr>
            <sz val="9"/>
            <color indexed="81"/>
            <rFont val="Tahoma"/>
            <family val="2"/>
          </rPr>
          <t xml:space="preserve">
si CDD mettre 10%
si CDI mettre 0%
</t>
        </r>
      </text>
    </comment>
  </commentList>
</comments>
</file>

<file path=xl/sharedStrings.xml><?xml version="1.0" encoding="utf-8"?>
<sst xmlns="http://schemas.openxmlformats.org/spreadsheetml/2006/main" count="455" uniqueCount="220">
  <si>
    <t>HOW TO USE THE PORTALIA'S MC2 ?</t>
  </si>
  <si>
    <r>
      <t>You can complete only the field in</t>
    </r>
    <r>
      <rPr>
        <b/>
        <sz val="11"/>
        <color theme="9"/>
        <rFont val="Calibri"/>
        <family val="2"/>
        <scheme val="minor"/>
      </rPr>
      <t xml:space="preserve"> green</t>
    </r>
  </si>
  <si>
    <t>1. Complete the ''Calcul Avec prov'' tab</t>
  </si>
  <si>
    <t>2. The purpose is to have the cell J4, identic to B12</t>
  </si>
  <si>
    <t>3. For that, you must click on Button 1</t>
  </si>
  <si>
    <t>(carefull, it must exist a little differences between the 2 amount. Remember, it is a simulation)</t>
  </si>
  <si>
    <t>4. Just click on Button 1 on ''Calcul Sans prov'' and be sure that all the information match with ''Calcul Avec prov''</t>
  </si>
  <si>
    <t>5. Finally, use the ''Template'' tab or the ''Buletin de Salaire' one to give the simulation to the candidate</t>
  </si>
  <si>
    <t>6. Do not forget to tell to the candidate that it is just a simulation</t>
  </si>
  <si>
    <t xml:space="preserve">For any information, do not hesitate to contact PORTALIA_HR@PORTALIA.FR </t>
  </si>
  <si>
    <t xml:space="preserve"> </t>
  </si>
  <si>
    <t>BRUT</t>
  </si>
  <si>
    <t>annuel</t>
  </si>
  <si>
    <t>Taux journalier</t>
  </si>
  <si>
    <t>mensuel</t>
  </si>
  <si>
    <t>Nombre de jour</t>
  </si>
  <si>
    <t>Charges Salariales</t>
  </si>
  <si>
    <t>C.A consultant</t>
  </si>
  <si>
    <t>Charges Patronales</t>
  </si>
  <si>
    <t>Frais de gestion</t>
  </si>
  <si>
    <t>montant</t>
  </si>
  <si>
    <t>Prime de fin de contrat</t>
  </si>
  <si>
    <t>NET</t>
  </si>
  <si>
    <t>Provisions CDI</t>
  </si>
  <si>
    <t>Cout Total</t>
  </si>
  <si>
    <t>Provisions CDD</t>
  </si>
  <si>
    <t>Frais de gestion fixe</t>
  </si>
  <si>
    <t>journalier</t>
  </si>
  <si>
    <t>Frais de fonctionnement</t>
  </si>
  <si>
    <t>Ticket restaurant - 50% pat</t>
  </si>
  <si>
    <t>Masse salariale disponible</t>
  </si>
  <si>
    <t>Cout employeur</t>
  </si>
  <si>
    <t>Mutuelle</t>
  </si>
  <si>
    <t>Oui</t>
  </si>
  <si>
    <t>Taux d'impot</t>
  </si>
  <si>
    <t>Ticket - Restaurant</t>
  </si>
  <si>
    <t>Avance sur salaire</t>
  </si>
  <si>
    <t>Nom de la commune &amp; zone transport</t>
  </si>
  <si>
    <t>Code commune - INSEE</t>
  </si>
  <si>
    <t>% - taux de transport après abattement</t>
  </si>
  <si>
    <t xml:space="preserve">Pour connaitre le code commune rattaché au code postal du lieu de travail, le lien URSSAF : </t>
  </si>
  <si>
    <t>https://www.urssaf.fr/portail/home/taux-et-baremes/versement-mobilite.html</t>
  </si>
  <si>
    <t>Mensuel</t>
  </si>
  <si>
    <t>Nombre de jours travaillés</t>
  </si>
  <si>
    <t>Facturation client (HT)</t>
  </si>
  <si>
    <t>[en pourcentage de la facturation]</t>
  </si>
  <si>
    <t>Frais complémentaires (pack medical, CVAE, RC et GF)</t>
  </si>
  <si>
    <t>Tickets restaurant</t>
  </si>
  <si>
    <t>Total des provisions</t>
  </si>
  <si>
    <t xml:space="preserve"> [en pourcentage]</t>
  </si>
  <si>
    <t>[charges patronales entre 40 et 45% - hors provisions]</t>
  </si>
  <si>
    <t>Salaire net avant impot (sur Bulletin de Salaire)</t>
  </si>
  <si>
    <t>[charges salariales comprises entre 20 et 24%]</t>
  </si>
  <si>
    <t>Frais de fonctionnement + TR (Payés hors Bulletin de Salaire)</t>
  </si>
  <si>
    <t>Salaire net + Frais + Tickets Restaurant</t>
  </si>
  <si>
    <t>Provisions net reversées en fin de contrat / en intercontrat</t>
  </si>
  <si>
    <t>Taux de reversion</t>
  </si>
  <si>
    <t>Récapitulatif de paie détaillé</t>
  </si>
  <si>
    <t>SMIC Horaire</t>
  </si>
  <si>
    <t>SALARIE PORTE</t>
  </si>
  <si>
    <t>Code</t>
  </si>
  <si>
    <t>Libellé</t>
  </si>
  <si>
    <t>Jours payés</t>
  </si>
  <si>
    <t>Salaire journalier</t>
  </si>
  <si>
    <t>Salaire mensuel</t>
  </si>
  <si>
    <t>Salaire Brut calculé</t>
  </si>
  <si>
    <t/>
  </si>
  <si>
    <t>Salaire de base minimum</t>
  </si>
  <si>
    <t xml:space="preserve">Salaire complémentaire </t>
  </si>
  <si>
    <t xml:space="preserve">  Tranche A</t>
  </si>
  <si>
    <t>Ind. Apporteur d'affaires (5%)</t>
  </si>
  <si>
    <t xml:space="preserve">  Tranche B</t>
  </si>
  <si>
    <t>Ind. De congés payés</t>
  </si>
  <si>
    <t>Total salaire Brut</t>
  </si>
  <si>
    <t>BASE S</t>
  </si>
  <si>
    <t>Tx SALARIAL</t>
  </si>
  <si>
    <t>Charges SALARIALES</t>
  </si>
  <si>
    <t>Tx PATRONAL</t>
  </si>
  <si>
    <t>Charges PATRONALES</t>
  </si>
  <si>
    <t>SS001</t>
  </si>
  <si>
    <t>Maladie - maternité - invalidité - décès</t>
  </si>
  <si>
    <t>ok</t>
  </si>
  <si>
    <t>SS002</t>
  </si>
  <si>
    <t>Contribution Solidarité Autonomie</t>
  </si>
  <si>
    <t>SS003</t>
  </si>
  <si>
    <t>Vieillesse déplafonnée</t>
  </si>
  <si>
    <t>SS004</t>
  </si>
  <si>
    <t>Vieillesse plafonnée</t>
  </si>
  <si>
    <t>SS005</t>
  </si>
  <si>
    <t>Allocations familiales</t>
  </si>
  <si>
    <t>SS006</t>
  </si>
  <si>
    <t>Accident du travail</t>
  </si>
  <si>
    <t>SS007</t>
  </si>
  <si>
    <t xml:space="preserve">FNAL + 20 </t>
  </si>
  <si>
    <t xml:space="preserve"> ok </t>
  </si>
  <si>
    <t>CH001</t>
  </si>
  <si>
    <t>Assurance chômage TRA + TRB</t>
  </si>
  <si>
    <t>CH002</t>
  </si>
  <si>
    <t>AGS</t>
  </si>
  <si>
    <t>AR001</t>
  </si>
  <si>
    <t>RETRAITE T1</t>
  </si>
  <si>
    <t>part patronale</t>
  </si>
  <si>
    <t>part salariale</t>
  </si>
  <si>
    <t>AG001</t>
  </si>
  <si>
    <t>RETRAITE T2</t>
  </si>
  <si>
    <t>tx patronal</t>
  </si>
  <si>
    <t>Montant pat</t>
  </si>
  <si>
    <t>tx sal</t>
  </si>
  <si>
    <t>Montant sal</t>
  </si>
  <si>
    <t>coût total</t>
  </si>
  <si>
    <t>AG005</t>
  </si>
  <si>
    <t>Contribution Exceptionnelle et Temporaire</t>
  </si>
  <si>
    <t>Non</t>
  </si>
  <si>
    <t>AR004</t>
  </si>
  <si>
    <t>CEG T1</t>
  </si>
  <si>
    <t>Consultant &amp; Enfant</t>
  </si>
  <si>
    <t>CEG T2</t>
  </si>
  <si>
    <t>consultant &amp; Enfant + option</t>
  </si>
  <si>
    <t>AG004</t>
  </si>
  <si>
    <t>APEC</t>
  </si>
  <si>
    <t xml:space="preserve">Famille </t>
  </si>
  <si>
    <t>PR010</t>
  </si>
  <si>
    <t>Prévoyance cadre Tr1</t>
  </si>
  <si>
    <t>Famille + 1 option</t>
  </si>
  <si>
    <t>PR250</t>
  </si>
  <si>
    <t>Prévoyance cadre Tr2</t>
  </si>
  <si>
    <t>Famille + 2 options</t>
  </si>
  <si>
    <t>PS278</t>
  </si>
  <si>
    <t>Frais de sante du regime general</t>
  </si>
  <si>
    <t>SS050</t>
  </si>
  <si>
    <t>Contribution au dialogie social</t>
  </si>
  <si>
    <t>part sal</t>
  </si>
  <si>
    <t>TC004</t>
  </si>
  <si>
    <t xml:space="preserve">Taxe d'apprentissage </t>
  </si>
  <si>
    <t>TC120</t>
  </si>
  <si>
    <t>Developpement de paritarisme</t>
  </si>
  <si>
    <t>TC123</t>
  </si>
  <si>
    <t>Développement du paritarisme</t>
  </si>
  <si>
    <t>TC001</t>
  </si>
  <si>
    <t>Participation à la formation professionnelle</t>
  </si>
  <si>
    <t>Effort construction</t>
  </si>
  <si>
    <t>Versement mobilité (taxe transport)</t>
  </si>
  <si>
    <t>SS043</t>
  </si>
  <si>
    <t>Allocations familiales (complément)</t>
  </si>
  <si>
    <t>SS022</t>
  </si>
  <si>
    <t>CSG non déductible et CRDS</t>
  </si>
  <si>
    <t>SS021</t>
  </si>
  <si>
    <t>CSG déductible</t>
  </si>
  <si>
    <t>Total des retenues déductibles</t>
  </si>
  <si>
    <t>Total des retenues non déductibles</t>
  </si>
  <si>
    <t>Total des retenues</t>
  </si>
  <si>
    <t>Salaire net imposable</t>
  </si>
  <si>
    <t>Salaire net</t>
  </si>
  <si>
    <t>Tickets restaurant déduction</t>
  </si>
  <si>
    <t>Net à payer</t>
  </si>
  <si>
    <t>Remboursement Frais de fonctionnement</t>
  </si>
  <si>
    <t>Tickets restaurant remis</t>
  </si>
  <si>
    <t>Coût global hors frais de fonctionnement</t>
  </si>
  <si>
    <t>Net (apres impot)</t>
  </si>
  <si>
    <t>Montant net provisions (réserve)</t>
  </si>
  <si>
    <t>Net (du apres reversement provisions)</t>
  </si>
  <si>
    <t>Net (du apres reversement provisions) + Frais de fonctionnement + Tickets Restaurant</t>
  </si>
  <si>
    <t>Taux de charges Salariale</t>
  </si>
  <si>
    <t>Pierrick Rocher</t>
  </si>
  <si>
    <t>Taux de charges Patronale</t>
  </si>
  <si>
    <r>
      <rPr>
        <i/>
        <u/>
        <sz val="9"/>
        <color theme="1"/>
        <rFont val="Calibri"/>
        <family val="2"/>
        <scheme val="minor"/>
      </rPr>
      <t>WARNING</t>
    </r>
    <r>
      <rPr>
        <i/>
        <sz val="9"/>
        <color theme="1"/>
        <rFont val="Calibri"/>
        <family val="2"/>
        <scheme val="minor"/>
      </rPr>
      <t xml:space="preserve"> : Cet outil de simulation est confidentiel et n'est fourni qu'à titre indicatif. 
Les simulations produites ne constituent en aucune façon un engagement contractuel.</t>
    </r>
  </si>
  <si>
    <t>TRANCHE B GMP</t>
  </si>
  <si>
    <t>SI CADRE EN DESSOUS DE 3311</t>
  </si>
  <si>
    <t>COTISE AUTOMATIQUEMENT A 353,82</t>
  </si>
  <si>
    <t xml:space="preserve">FNAL +20 </t>
  </si>
  <si>
    <t>PR001</t>
  </si>
  <si>
    <t>Net imposable</t>
  </si>
  <si>
    <t>Net + Frais de fonctionnement</t>
  </si>
  <si>
    <t>Coût global</t>
  </si>
  <si>
    <t>Geoffroy Gardey de Soos</t>
  </si>
  <si>
    <t>Bastien Barou</t>
  </si>
  <si>
    <t xml:space="preserve">  Plafond SS mensuel 2017</t>
  </si>
  <si>
    <t xml:space="preserve">  Plafond SS journalier 2017</t>
  </si>
  <si>
    <t xml:space="preserve">  Plafond SS journalier 2025</t>
  </si>
  <si>
    <t xml:space="preserve">  Plafond SS mensuel 2025</t>
  </si>
  <si>
    <t>new, IDF sans abattement depuis 2025 &amp; SYTRAL avec abattement de 25%</t>
  </si>
  <si>
    <t>PLAFOND SS URSSAF 2,4242 SMIC</t>
  </si>
  <si>
    <t>forfait social sur contribution prévoyance</t>
  </si>
  <si>
    <t>Date de début :</t>
  </si>
  <si>
    <t>Type de contrat :</t>
  </si>
  <si>
    <t>CDI CADRE</t>
  </si>
  <si>
    <t>Simulation de salaire chez Portalia</t>
  </si>
  <si>
    <t>Eléments du salaire</t>
  </si>
  <si>
    <t>[payée sur les charges salariales]</t>
  </si>
  <si>
    <t>[encadrés par la politique interne de frais Portalia]</t>
  </si>
  <si>
    <t>Salaire brut</t>
  </si>
  <si>
    <t>Cet outil de simulation est confidentiel et n'est fourni qu'à titre indicatif. 
Les simulations produites ne constituent en aucune façon un engagement contractuel.</t>
  </si>
  <si>
    <t>Taux Journalier</t>
  </si>
  <si>
    <t>le taux négocié entre le client et le CS (hors taxe par jour) pour la prestation.</t>
  </si>
  <si>
    <t>Nombre de jours travailles</t>
  </si>
  <si>
    <t xml:space="preserve">les 18 jours prennent en compte les jours fériés, les jours de congés sur 1 année (25), la limite des 218 jours par an (en forfait jour). </t>
  </si>
  <si>
    <t>Facturation client</t>
  </si>
  <si>
    <t>le chiffre d’affaires du CS en fonction du nombre de jours travailles x le taux journalier</t>
  </si>
  <si>
    <t>le tarif Portalia pour la mise en place des services (contrat de travail, déclarations, gestion de la paie, outils et accompagnement, support HR &amp; Juridique, facturation et recouvrement). Il est négocié en fonction du Taux Journalier/rémunération du CS</t>
  </si>
  <si>
    <t xml:space="preserve">paiement de l’intégralité du salaire sans l’attente de la facturation client </t>
  </si>
  <si>
    <t>Frais complementaires</t>
  </si>
  <si>
    <t>frais fixes qu’une entreprise de portage salarial paie pour l’exercice de l’activité du consultant. C’est le même montant pour tout le monde. [Obligation d’inscription au cabinet de santé lors de la contractualisation et la gestion des accidents de travail et maladies prof ; l’impôt sur la valeur ajoutée à chaque personne recrutée ; la Responsabilité Civile et Pro, et la Garantie Financière]</t>
  </si>
  <si>
    <t>Frais professionnels non refacturables liés à l’activité du CS et qui impactent le chiffre d’affaires pour permettre une optimisation fiscale, bénéficier d’une exonération des charges sociales et fiscales sur le montant de frais. Ces frais ne sont pas imposables. Montant maximum de 30% du salaire brut mensuel.</t>
  </si>
  <si>
    <t>Tickets Restaurant</t>
  </si>
  <si>
    <t xml:space="preserve">La partie prise en charge par l’employeur (50%) est considérée comme des frais pour permettre une optimisation fiscale et exonération de charges. L’autre partie est déduite directement du Net. </t>
  </si>
  <si>
    <t>Provisions</t>
  </si>
  <si>
    <t>• Provision RC 2%) : % min. Réserve qui permet de payer une indemnité de RC.</t>
  </si>
  <si>
    <t>• Provision Intermission (10%) : % min. Reserve en cas de période sans mission.</t>
  </si>
  <si>
    <t>• Provision CP (10%) : % fixé par la convention collective. Réserve en cas de congés.</t>
  </si>
  <si>
    <t>[Facturation client – Frais de gestion – Frais complémentaires – TR – Provision] : Montant qu’il reste pour calculer le salaire (d’abord brut avec le déductions des charges patronales puis net avec la déduction des charges salariales)</t>
  </si>
  <si>
    <t>Salaire brut reel</t>
  </si>
  <si>
    <t>[Charges patronales entre 40 et 45%] : Cela varie en fonction du nombre de jours travaillés et des frais de fonctionnement déclarés] – L’indemnité RC est exonérée de charges sociales &amp; fiscales, en revanche il y a un forfait social à payer à l’Etat de 30%)</t>
  </si>
  <si>
    <t>Salaire net avant impots (sur bulletin de paie)</t>
  </si>
  <si>
    <t>Salaire déduit des charges salariales sans le taux d’imposition. Le salaire est versé entre le 5 et 7 en début de mois</t>
  </si>
  <si>
    <t>Frais de fonctionnement + TR (Payes hors bulletin de salaire)</t>
  </si>
  <si>
    <t>Somme des frais et Tickets restaurant. Les TR sont chargés sur la carte SWILE et les frais sont remboursés entre le 25 et 27.</t>
  </si>
  <si>
    <t>il s’agit d’une estimation du Package Total et qui prend en compte le salaire net, les frais et TR</t>
  </si>
  <si>
    <t>Provisions net reversees en fin de contrat</t>
  </si>
  <si>
    <t>Montant des provisions en net qui seront reverses lors de la sortie des effectifs ou sur demande du consultant durant l'exercice de sa mission</t>
  </si>
  <si>
    <t>Le salaire versé chaque mois et visible sur le bulletin de salaire (en rapport avec cette simulation) – Hors provision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</si>
</sst>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4">
    <numFmt numFmtId="43" formatCode="_-* #,##0.00_-;\-* #,##0.00_-;_-* &quot;-&quot;??_-;_-@_-"/>
    <numFmt numFmtId="164" formatCode="0.0000%"/>
    <numFmt numFmtId="165" formatCode="#,##0.00\ [$€-1];[Red]\-#,##0.00\ [$€-1]"/>
    <numFmt numFmtId="166" formatCode="_([$€-2]\ * #,##0.00_);_([$€-2]\ * \(#,##0.00\);_([$€-2]\ * &quot;-&quot;??_);_(@_)"/>
    <numFmt numFmtId="167" formatCode="_-* #,##0\ [$€-40C]_-;\-* #,##0\ [$€-40C]_-;_-* &quot;-&quot;??\ [$€-40C]_-;_-@_-"/>
    <numFmt numFmtId="168" formatCode="#,##0&quot; jours&quot;"/>
    <numFmt numFmtId="169" formatCode="0.000"/>
    <numFmt numFmtId="170" formatCode="_-[$€-2]\ * #,##0.00_-;\-[$€-2]\ * #,##0.00_-;_-[$€-2]\ * &quot;-&quot;??_-;_-@_-"/>
    <numFmt numFmtId="171" formatCode="0.0%"/>
    <numFmt numFmtId="172" formatCode="0.000000"/>
    <numFmt numFmtId="173" formatCode="0.000%"/>
    <numFmt numFmtId="174" formatCode="#,##0.000\ [$€-1];[Red]\-#,##0.000\ [$€-1]"/>
    <numFmt numFmtId="175" formatCode="00000"/>
    <numFmt numFmtId="176" formatCode="[$-40C]d\ mmmm\ yyyy;@"/>
  </numFmts>
  <fonts count="53" x14ac:knownFonts="1">
    <font>
      <sz val="11"/>
      <color theme="1"/>
      <name val="Calibri"/>
      <family val="2"/>
      <scheme val="minor"/>
    </font>
    <font>
      <sz val="11"/>
      <color theme="1"/>
      <name val="Calibri"/>
      <family val="2"/>
      <scheme val="minor"/>
    </font>
    <font>
      <b/>
      <sz val="11"/>
      <color theme="1"/>
      <name val="Calibri"/>
      <family val="2"/>
      <scheme val="minor"/>
    </font>
    <font>
      <b/>
      <sz val="11"/>
      <color indexed="9"/>
      <name val="Calibri"/>
      <family val="2"/>
    </font>
    <font>
      <sz val="11"/>
      <color indexed="8"/>
      <name val="Calibri"/>
      <family val="2"/>
    </font>
    <font>
      <b/>
      <sz val="11"/>
      <color indexed="8"/>
      <name val="Calibri"/>
      <family val="2"/>
    </font>
    <font>
      <b/>
      <sz val="10"/>
      <color theme="1"/>
      <name val="Segoe UI"/>
      <family val="2"/>
    </font>
    <font>
      <sz val="10"/>
      <color theme="1"/>
      <name val="Arial"/>
      <family val="2"/>
    </font>
    <font>
      <sz val="11"/>
      <color theme="0"/>
      <name val="Calibri"/>
      <family val="2"/>
      <scheme val="minor"/>
    </font>
    <font>
      <i/>
      <sz val="9"/>
      <color theme="1"/>
      <name val="Calibri"/>
      <family val="2"/>
      <scheme val="minor"/>
    </font>
    <font>
      <sz val="9"/>
      <color indexed="81"/>
      <name val="Tahoma"/>
      <family val="2"/>
    </font>
    <font>
      <b/>
      <sz val="9"/>
      <color indexed="81"/>
      <name val="Tahoma"/>
      <family val="2"/>
    </font>
    <font>
      <b/>
      <sz val="11"/>
      <color theme="0"/>
      <name val="Calibri"/>
      <family val="2"/>
      <scheme val="minor"/>
    </font>
    <font>
      <b/>
      <sz val="14"/>
      <color rgb="FF1B5FAB"/>
      <name val="Segoe UI"/>
      <family val="2"/>
    </font>
    <font>
      <b/>
      <sz val="12"/>
      <color rgb="FF00CC99"/>
      <name val="Segoe UI"/>
      <family val="2"/>
    </font>
    <font>
      <i/>
      <sz val="11"/>
      <color theme="1"/>
      <name val="Calibri"/>
      <family val="2"/>
      <scheme val="minor"/>
    </font>
    <font>
      <i/>
      <u/>
      <sz val="9"/>
      <color theme="1"/>
      <name val="Calibri"/>
      <family val="2"/>
      <scheme val="minor"/>
    </font>
    <font>
      <b/>
      <sz val="11"/>
      <color theme="9"/>
      <name val="Calibri"/>
      <family val="2"/>
      <scheme val="minor"/>
    </font>
    <font>
      <b/>
      <sz val="24"/>
      <color theme="1"/>
      <name val="Calibri"/>
      <family val="2"/>
      <scheme val="minor"/>
    </font>
    <font>
      <i/>
      <sz val="9"/>
      <color rgb="FFFF0000"/>
      <name val="Calibri"/>
      <family val="2"/>
      <scheme val="minor"/>
    </font>
    <font>
      <sz val="9"/>
      <color indexed="8"/>
      <name val="Calibri"/>
      <family val="2"/>
    </font>
    <font>
      <b/>
      <sz val="9"/>
      <color indexed="8"/>
      <name val="Calibri"/>
      <family val="2"/>
    </font>
    <font>
      <sz val="9"/>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sz val="11"/>
      <color rgb="FFFF0000"/>
      <name val="Calibri"/>
      <family val="2"/>
      <scheme val="minor"/>
    </font>
    <font>
      <i/>
      <sz val="11"/>
      <color rgb="FF7F7F7F"/>
      <name val="Calibri"/>
      <family val="2"/>
      <scheme val="minor"/>
    </font>
    <font>
      <sz val="10"/>
      <color theme="1"/>
      <name val="Calibri"/>
      <family val="2"/>
      <scheme val="minor"/>
    </font>
    <font>
      <b/>
      <i/>
      <sz val="9"/>
      <color theme="1"/>
      <name val="Calibri"/>
      <family val="2"/>
      <scheme val="minor"/>
    </font>
    <font>
      <b/>
      <sz val="10"/>
      <name val="Segoe UI"/>
      <family val="2"/>
    </font>
    <font>
      <b/>
      <sz val="10"/>
      <name val="Calibri"/>
      <family val="2"/>
      <scheme val="minor"/>
    </font>
    <font>
      <b/>
      <sz val="11"/>
      <color rgb="FFFF0000"/>
      <name val="Calibri"/>
      <family val="2"/>
      <scheme val="minor"/>
    </font>
    <font>
      <b/>
      <sz val="11"/>
      <name val="Calibri"/>
      <family val="2"/>
      <scheme val="minor"/>
    </font>
    <font>
      <sz val="11"/>
      <name val="Calibri"/>
      <family val="2"/>
      <scheme val="minor"/>
    </font>
    <font>
      <b/>
      <sz val="10"/>
      <color theme="1"/>
      <name val="Calibri"/>
      <family val="2"/>
      <scheme val="minor"/>
    </font>
    <font>
      <i/>
      <sz val="10"/>
      <color theme="1"/>
      <name val="Calibri"/>
      <family val="2"/>
      <scheme val="minor"/>
    </font>
    <font>
      <u/>
      <sz val="11"/>
      <color theme="10"/>
      <name val="Calibri"/>
      <family val="2"/>
      <scheme val="minor"/>
    </font>
    <font>
      <sz val="11"/>
      <color rgb="FF000000"/>
      <name val="Calibri"/>
      <family val="2"/>
    </font>
    <font>
      <sz val="8"/>
      <name val="Calibri"/>
      <family val="2"/>
      <scheme val="minor"/>
    </font>
    <font>
      <sz val="11"/>
      <color rgb="FF000000"/>
      <name val="Calibri"/>
      <family val="2"/>
      <scheme val="minor"/>
    </font>
    <font>
      <b/>
      <u/>
      <sz val="11"/>
      <color rgb="FF000000"/>
      <name val="Calibri"/>
      <family val="2"/>
      <scheme val="minor"/>
    </font>
    <font>
      <i/>
      <sz val="9"/>
      <color rgb="FF000000"/>
      <name val="Calibri"/>
      <family val="2"/>
      <scheme val="minor"/>
    </font>
    <font>
      <b/>
      <sz val="11"/>
      <color rgb="FFFFFFFF"/>
      <name val="Calibri"/>
      <family val="2"/>
      <scheme val="minor"/>
    </font>
    <font>
      <b/>
      <sz val="11"/>
      <color rgb="FF000000"/>
      <name val="Calibri"/>
      <family val="2"/>
      <scheme val="minor"/>
    </font>
  </fonts>
  <fills count="51">
    <fill>
      <patternFill patternType="none"/>
    </fill>
    <fill>
      <patternFill patternType="gray125"/>
    </fill>
    <fill>
      <patternFill patternType="solid">
        <fgColor rgb="FF808080"/>
        <bgColor indexed="64"/>
      </patternFill>
    </fill>
    <fill>
      <patternFill patternType="solid">
        <fgColor rgb="FFF5F5DC"/>
        <bgColor indexed="64"/>
      </patternFill>
    </fill>
    <fill>
      <patternFill patternType="solid">
        <fgColor rgb="FFFFEBCD"/>
        <bgColor indexed="64"/>
      </patternFill>
    </fill>
    <fill>
      <patternFill patternType="solid">
        <fgColor rgb="FFFFFF00"/>
        <bgColor indexed="64"/>
      </patternFill>
    </fill>
    <fill>
      <patternFill patternType="solid">
        <fgColor rgb="FFE8E8E8"/>
        <bgColor indexed="64"/>
      </patternFill>
    </fill>
    <fill>
      <patternFill patternType="solid">
        <fgColor rgb="FFF5F5F5"/>
        <bgColor indexed="64"/>
      </patternFill>
    </fill>
    <fill>
      <patternFill patternType="solid">
        <fgColor theme="5" tint="0.59999389629810485"/>
        <bgColor indexed="64"/>
      </patternFill>
    </fill>
    <fill>
      <patternFill patternType="solid">
        <fgColor rgb="FFFFFACD"/>
        <bgColor indexed="64"/>
      </patternFill>
    </fill>
    <fill>
      <patternFill patternType="solid">
        <fgColor rgb="FFD2B48C"/>
        <bgColor indexed="64"/>
      </patternFill>
    </fill>
    <fill>
      <patternFill patternType="solid">
        <fgColor rgb="FF92D050"/>
        <bgColor indexed="64"/>
      </patternFill>
    </fill>
    <fill>
      <patternFill patternType="solid">
        <fgColor rgb="FFFFC000"/>
        <bgColor indexed="64"/>
      </patternFill>
    </fill>
    <fill>
      <patternFill patternType="solid">
        <fgColor theme="0"/>
        <bgColor indexed="64"/>
      </patternFill>
    </fill>
    <fill>
      <patternFill patternType="solid">
        <fgColor rgb="FF00B0F0"/>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FFFFFF"/>
        <bgColor rgb="FF000000"/>
      </patternFill>
    </fill>
    <fill>
      <patternFill patternType="solid">
        <fgColor rgb="FF80C9FF"/>
        <bgColor rgb="FF000000"/>
      </patternFill>
    </fill>
    <fill>
      <patternFill patternType="solid">
        <fgColor rgb="FF80C9FF"/>
        <bgColor indexed="64"/>
      </patternFill>
    </fill>
    <fill>
      <patternFill patternType="solid">
        <fgColor rgb="FF00528E"/>
        <bgColor rgb="FF000000"/>
      </patternFill>
    </fill>
    <fill>
      <patternFill patternType="solid">
        <fgColor rgb="FF00528E"/>
        <bgColor indexed="64"/>
      </patternFill>
    </fill>
  </fills>
  <borders count="67">
    <border>
      <left/>
      <right/>
      <top/>
      <bottom/>
      <diagonal/>
    </border>
    <border>
      <left style="thin">
        <color rgb="FFFFFFFF"/>
      </left>
      <right/>
      <top style="thin">
        <color rgb="FFFFFFFF"/>
      </top>
      <bottom style="thin">
        <color rgb="FFFFFFFF"/>
      </bottom>
      <diagonal/>
    </border>
    <border>
      <left/>
      <right/>
      <top style="thin">
        <color rgb="FFFFFFFF"/>
      </top>
      <bottom style="thin">
        <color rgb="FFFFFFFF"/>
      </bottom>
      <diagonal/>
    </border>
    <border>
      <left/>
      <right style="thin">
        <color rgb="FFFFFFFF"/>
      </right>
      <top style="thin">
        <color rgb="FFFFFFFF"/>
      </top>
      <bottom style="thin">
        <color rgb="FFFFFFFF"/>
      </bottom>
      <diagonal/>
    </border>
    <border>
      <left style="thin">
        <color rgb="FFFFFFFF"/>
      </left>
      <right style="thin">
        <color rgb="FFFFFFFF"/>
      </right>
      <top style="thin">
        <color rgb="FFFFFFFF"/>
      </top>
      <bottom style="thin">
        <color rgb="FFFFFFFF"/>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top style="thin">
        <color auto="1"/>
      </top>
      <bottom/>
      <diagonal/>
    </border>
    <border>
      <left/>
      <right style="thin">
        <color auto="1"/>
      </right>
      <top style="thin">
        <color auto="1"/>
      </top>
      <bottom/>
      <diagonal/>
    </border>
    <border>
      <left style="thin">
        <color auto="1"/>
      </left>
      <right/>
      <top/>
      <bottom style="thin">
        <color auto="1"/>
      </bottom>
      <diagonal/>
    </border>
    <border>
      <left/>
      <right style="thin">
        <color auto="1"/>
      </right>
      <top/>
      <bottom style="thin">
        <color auto="1"/>
      </bottom>
      <diagonal/>
    </border>
    <border>
      <left style="medium">
        <color indexed="64"/>
      </left>
      <right style="medium">
        <color indexed="64"/>
      </right>
      <top style="medium">
        <color indexed="64"/>
      </top>
      <bottom style="medium">
        <color indexed="64"/>
      </bottom>
      <diagonal/>
    </border>
    <border>
      <left style="thin">
        <color rgb="FF1B5FAB"/>
      </left>
      <right/>
      <top style="thin">
        <color rgb="FF1B5FAB"/>
      </top>
      <bottom style="thin">
        <color rgb="FF1B5FAB"/>
      </bottom>
      <diagonal/>
    </border>
    <border>
      <left/>
      <right/>
      <top style="thin">
        <color rgb="FF1B5FAB"/>
      </top>
      <bottom style="thin">
        <color rgb="FF1B5FAB"/>
      </bottom>
      <diagonal/>
    </border>
    <border>
      <left/>
      <right style="thin">
        <color rgb="FF1B5FAB"/>
      </right>
      <top style="thin">
        <color rgb="FF1B5FAB"/>
      </top>
      <bottom style="thin">
        <color rgb="FF1B5FAB"/>
      </bottom>
      <diagonal/>
    </border>
    <border>
      <left style="thin">
        <color rgb="FF1B5FAB"/>
      </left>
      <right/>
      <top/>
      <bottom/>
      <diagonal/>
    </border>
    <border>
      <left style="thin">
        <color rgb="FF1B5FAB"/>
      </left>
      <right/>
      <top style="thin">
        <color rgb="FF1B5FAB"/>
      </top>
      <bottom/>
      <diagonal/>
    </border>
    <border>
      <left/>
      <right style="thin">
        <color rgb="FF1B5FAB"/>
      </right>
      <top style="thin">
        <color rgb="FF1B5FAB"/>
      </top>
      <bottom/>
      <diagonal/>
    </border>
    <border>
      <left/>
      <right style="thin">
        <color rgb="FF1B5FAB"/>
      </right>
      <top/>
      <bottom/>
      <diagonal/>
    </border>
    <border>
      <left/>
      <right/>
      <top/>
      <bottom style="thin">
        <color rgb="FF1B5FAB"/>
      </bottom>
      <diagonal/>
    </border>
    <border>
      <left/>
      <right style="thin">
        <color rgb="FF1B5FAB"/>
      </right>
      <top/>
      <bottom style="thin">
        <color rgb="FF1B5FAB"/>
      </bottom>
      <diagonal/>
    </border>
    <border>
      <left/>
      <right/>
      <top style="thin">
        <color rgb="FF1B5FAB"/>
      </top>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right/>
      <top/>
      <bottom style="thin">
        <color theme="4" tint="-0.249977111117893"/>
      </bottom>
      <diagonal/>
    </border>
    <border>
      <left/>
      <right style="thin">
        <color theme="4" tint="-0.249977111117893"/>
      </right>
      <top/>
      <bottom/>
      <diagonal/>
    </border>
    <border>
      <left style="thin">
        <color theme="4" tint="-0.249977111117893"/>
      </left>
      <right/>
      <top/>
      <bottom style="thin">
        <color theme="4" tint="-0.249977111117893"/>
      </bottom>
      <diagonal/>
    </border>
    <border>
      <left style="thin">
        <color auto="1"/>
      </left>
      <right style="thin">
        <color auto="1"/>
      </right>
      <top style="thin">
        <color auto="1"/>
      </top>
      <bottom/>
      <diagonal/>
    </border>
    <border>
      <left/>
      <right/>
      <top/>
      <bottom style="thin">
        <color auto="1"/>
      </bottom>
      <diagonal/>
    </border>
    <border>
      <left style="thin">
        <color theme="4" tint="-0.249977111117893"/>
      </left>
      <right/>
      <top/>
      <bottom/>
      <diagonal/>
    </border>
    <border>
      <left style="thin">
        <color rgb="FF1B5FAB"/>
      </left>
      <right/>
      <top/>
      <bottom style="thin">
        <color theme="8"/>
      </bottom>
      <diagonal/>
    </border>
    <border>
      <left/>
      <right style="thin">
        <color theme="8"/>
      </right>
      <top/>
      <bottom/>
      <diagonal/>
    </border>
    <border>
      <left style="thin">
        <color theme="8"/>
      </left>
      <right/>
      <top style="thin">
        <color theme="8"/>
      </top>
      <bottom style="thin">
        <color theme="8"/>
      </bottom>
      <diagonal/>
    </border>
    <border>
      <left/>
      <right style="thin">
        <color theme="8"/>
      </right>
      <top style="thin">
        <color theme="8"/>
      </top>
      <bottom style="thin">
        <color theme="8"/>
      </bottom>
      <diagonal/>
    </border>
    <border>
      <left/>
      <right style="thin">
        <color theme="8"/>
      </right>
      <top/>
      <bottom style="thin">
        <color theme="8"/>
      </bottom>
      <diagonal/>
    </border>
    <border>
      <left style="thin">
        <color theme="4" tint="-0.249977111117893"/>
      </left>
      <right/>
      <top/>
      <bottom style="thin">
        <color theme="8"/>
      </bottom>
      <diagonal/>
    </border>
    <border>
      <left style="thin">
        <color theme="4" tint="-0.249977111117893"/>
      </left>
      <right/>
      <top style="thin">
        <color theme="8"/>
      </top>
      <bottom style="thin">
        <color theme="8"/>
      </bottom>
      <diagonal/>
    </border>
    <border>
      <left/>
      <right style="thin">
        <color theme="4" tint="-0.249977111117893"/>
      </right>
      <top style="thin">
        <color theme="8"/>
      </top>
      <bottom style="thin">
        <color theme="8"/>
      </bottom>
      <diagonal/>
    </border>
    <border>
      <left style="medium">
        <color theme="8"/>
      </left>
      <right/>
      <top style="medium">
        <color theme="8"/>
      </top>
      <bottom style="medium">
        <color theme="8"/>
      </bottom>
      <diagonal/>
    </border>
    <border>
      <left/>
      <right/>
      <top style="medium">
        <color theme="8"/>
      </top>
      <bottom style="medium">
        <color theme="8"/>
      </bottom>
      <diagonal/>
    </border>
    <border>
      <left/>
      <right/>
      <top/>
      <bottom style="thin">
        <color theme="4"/>
      </bottom>
      <diagonal/>
    </border>
    <border>
      <left style="thin">
        <color rgb="FF1B5FAB"/>
      </left>
      <right/>
      <top style="thin">
        <color theme="4"/>
      </top>
      <bottom style="thin">
        <color theme="4"/>
      </bottom>
      <diagonal/>
    </border>
    <border>
      <left/>
      <right/>
      <top style="thin">
        <color theme="4"/>
      </top>
      <bottom style="thin">
        <color theme="4"/>
      </bottom>
      <diagonal/>
    </border>
    <border>
      <left/>
      <right style="thin">
        <color rgb="FF0070C0"/>
      </right>
      <top style="thin">
        <color theme="4"/>
      </top>
      <bottom style="thin">
        <color theme="4"/>
      </bottom>
      <diagonal/>
    </border>
    <border>
      <left/>
      <right/>
      <top/>
      <bottom style="thin">
        <color rgb="FF00528E"/>
      </bottom>
      <diagonal/>
    </border>
    <border>
      <left/>
      <right/>
      <top/>
      <bottom style="medium">
        <color indexed="64"/>
      </bottom>
      <diagonal/>
    </border>
    <border>
      <left/>
      <right style="medium">
        <color theme="4"/>
      </right>
      <top style="medium">
        <color theme="8"/>
      </top>
      <bottom style="medium">
        <color theme="8"/>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diagonal/>
    </border>
    <border>
      <left style="medium">
        <color indexed="64"/>
      </left>
      <right style="medium">
        <color indexed="64"/>
      </right>
      <top/>
      <bottom/>
      <diagonal/>
    </border>
    <border>
      <left style="medium">
        <color indexed="64"/>
      </left>
      <right style="medium">
        <color indexed="64"/>
      </right>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s>
  <cellStyleXfs count="45">
    <xf numFmtId="0" fontId="0" fillId="0" borderId="0"/>
    <xf numFmtId="9" fontId="1" fillId="0" borderId="0" applyFont="0" applyFill="0" applyBorder="0" applyAlignment="0" applyProtection="0"/>
    <xf numFmtId="43" fontId="1" fillId="0" borderId="0" applyFont="0" applyFill="0" applyBorder="0" applyAlignment="0" applyProtection="0"/>
    <xf numFmtId="0" fontId="23" fillId="0" borderId="0" applyNumberFormat="0" applyFill="0" applyBorder="0" applyAlignment="0" applyProtection="0"/>
    <xf numFmtId="0" fontId="24" fillId="0" borderId="27" applyNumberFormat="0" applyFill="0" applyAlignment="0" applyProtection="0"/>
    <xf numFmtId="0" fontId="25" fillId="0" borderId="28" applyNumberFormat="0" applyFill="0" applyAlignment="0" applyProtection="0"/>
    <xf numFmtId="0" fontId="26" fillId="0" borderId="29" applyNumberFormat="0" applyFill="0" applyAlignment="0" applyProtection="0"/>
    <xf numFmtId="0" fontId="26" fillId="0" borderId="0" applyNumberFormat="0" applyFill="0" applyBorder="0" applyAlignment="0" applyProtection="0"/>
    <xf numFmtId="0" fontId="27" fillId="15" borderId="0" applyNumberFormat="0" applyBorder="0" applyAlignment="0" applyProtection="0"/>
    <xf numFmtId="0" fontId="28" fillId="16" borderId="0" applyNumberFormat="0" applyBorder="0" applyAlignment="0" applyProtection="0"/>
    <xf numFmtId="0" fontId="29" fillId="17" borderId="0" applyNumberFormat="0" applyBorder="0" applyAlignment="0" applyProtection="0"/>
    <xf numFmtId="0" fontId="30" fillId="18" borderId="30" applyNumberFormat="0" applyAlignment="0" applyProtection="0"/>
    <xf numFmtId="0" fontId="31" fillId="19" borderId="31" applyNumberFormat="0" applyAlignment="0" applyProtection="0"/>
    <xf numFmtId="0" fontId="32" fillId="19" borderId="30" applyNumberFormat="0" applyAlignment="0" applyProtection="0"/>
    <xf numFmtId="0" fontId="33" fillId="0" borderId="32" applyNumberFormat="0" applyFill="0" applyAlignment="0" applyProtection="0"/>
    <xf numFmtId="0" fontId="12" fillId="20" borderId="33" applyNumberFormat="0" applyAlignment="0" applyProtection="0"/>
    <xf numFmtId="0" fontId="34" fillId="0" borderId="0" applyNumberFormat="0" applyFill="0" applyBorder="0" applyAlignment="0" applyProtection="0"/>
    <xf numFmtId="0" fontId="1" fillId="21" borderId="34" applyNumberFormat="0" applyFont="0" applyAlignment="0" applyProtection="0"/>
    <xf numFmtId="0" fontId="35" fillId="0" borderId="0" applyNumberFormat="0" applyFill="0" applyBorder="0" applyAlignment="0" applyProtection="0"/>
    <xf numFmtId="0" fontId="2" fillId="0" borderId="35" applyNumberFormat="0" applyFill="0" applyAlignment="0" applyProtection="0"/>
    <xf numFmtId="0" fontId="8"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0" fontId="1" fillId="35" borderId="0" applyNumberFormat="0" applyBorder="0" applyAlignment="0" applyProtection="0"/>
    <xf numFmtId="0" fontId="1" fillId="36" borderId="0" applyNumberFormat="0" applyBorder="0" applyAlignment="0" applyProtection="0"/>
    <xf numFmtId="0" fontId="8" fillId="37" borderId="0" applyNumberFormat="0" applyBorder="0" applyAlignment="0" applyProtection="0"/>
    <xf numFmtId="0" fontId="8" fillId="38" borderId="0" applyNumberFormat="0" applyBorder="0" applyAlignment="0" applyProtection="0"/>
    <xf numFmtId="0" fontId="1" fillId="39" borderId="0" applyNumberFormat="0" applyBorder="0" applyAlignment="0" applyProtection="0"/>
    <xf numFmtId="0" fontId="1" fillId="40" borderId="0" applyNumberFormat="0" applyBorder="0" applyAlignment="0" applyProtection="0"/>
    <xf numFmtId="0" fontId="8" fillId="41" borderId="0" applyNumberFormat="0" applyBorder="0" applyAlignment="0" applyProtection="0"/>
    <xf numFmtId="0" fontId="8" fillId="42" borderId="0" applyNumberFormat="0" applyBorder="0" applyAlignment="0" applyProtection="0"/>
    <xf numFmtId="0" fontId="1" fillId="43" borderId="0" applyNumberFormat="0" applyBorder="0" applyAlignment="0" applyProtection="0"/>
    <xf numFmtId="0" fontId="1" fillId="44" borderId="0" applyNumberFormat="0" applyBorder="0" applyAlignment="0" applyProtection="0"/>
    <xf numFmtId="0" fontId="8" fillId="45" borderId="0" applyNumberFormat="0" applyBorder="0" applyAlignment="0" applyProtection="0"/>
    <xf numFmtId="0" fontId="45" fillId="0" borderId="0" applyNumberFormat="0" applyFill="0" applyBorder="0" applyAlignment="0" applyProtection="0"/>
  </cellStyleXfs>
  <cellXfs count="214">
    <xf numFmtId="0" fontId="0" fillId="0" borderId="0" xfId="0"/>
    <xf numFmtId="0" fontId="2" fillId="0" borderId="0" xfId="0" applyFont="1"/>
    <xf numFmtId="0" fontId="3" fillId="2" borderId="4" xfId="0" applyFont="1" applyFill="1" applyBorder="1" applyAlignment="1">
      <alignment horizontal="center" vertical="center" wrapText="1"/>
    </xf>
    <xf numFmtId="0" fontId="4" fillId="3" borderId="0" xfId="0" applyFont="1" applyFill="1"/>
    <xf numFmtId="4" fontId="4" fillId="3" borderId="0" xfId="0" applyNumberFormat="1" applyFont="1" applyFill="1"/>
    <xf numFmtId="0" fontId="5" fillId="3" borderId="0" xfId="0" applyFont="1" applyFill="1"/>
    <xf numFmtId="0" fontId="4" fillId="4" borderId="0" xfId="0" applyFont="1" applyFill="1"/>
    <xf numFmtId="4" fontId="4" fillId="4" borderId="0" xfId="0" applyNumberFormat="1" applyFont="1" applyFill="1"/>
    <xf numFmtId="0" fontId="5" fillId="4" borderId="0" xfId="0" applyFont="1" applyFill="1"/>
    <xf numFmtId="0" fontId="0" fillId="5" borderId="0" xfId="0" applyFill="1"/>
    <xf numFmtId="4" fontId="0" fillId="5" borderId="0" xfId="0" applyNumberFormat="1" applyFill="1"/>
    <xf numFmtId="164" fontId="0" fillId="0" borderId="0" xfId="0" applyNumberFormat="1"/>
    <xf numFmtId="0" fontId="6" fillId="8" borderId="8" xfId="0" applyFont="1" applyFill="1" applyBorder="1" applyAlignment="1">
      <alignment horizontal="center"/>
    </xf>
    <xf numFmtId="0" fontId="0" fillId="0" borderId="8" xfId="0" applyBorder="1"/>
    <xf numFmtId="165" fontId="0" fillId="0" borderId="8" xfId="0" applyNumberFormat="1" applyBorder="1"/>
    <xf numFmtId="165" fontId="0" fillId="0" borderId="0" xfId="0" applyNumberFormat="1"/>
    <xf numFmtId="4" fontId="0" fillId="0" borderId="0" xfId="0" applyNumberFormat="1"/>
    <xf numFmtId="4" fontId="5" fillId="4" borderId="0" xfId="0" applyNumberFormat="1" applyFont="1" applyFill="1"/>
    <xf numFmtId="10" fontId="4" fillId="4" borderId="0" xfId="1" applyNumberFormat="1" applyFont="1" applyFill="1" applyBorder="1" applyAlignment="1" applyProtection="1"/>
    <xf numFmtId="0" fontId="4" fillId="9" borderId="0" xfId="0" applyFont="1" applyFill="1"/>
    <xf numFmtId="4" fontId="4" fillId="9" borderId="0" xfId="0" applyNumberFormat="1" applyFont="1" applyFill="1"/>
    <xf numFmtId="0" fontId="5" fillId="9" borderId="0" xfId="0" applyFont="1" applyFill="1"/>
    <xf numFmtId="0" fontId="4" fillId="10" borderId="0" xfId="0" applyFont="1" applyFill="1"/>
    <xf numFmtId="4" fontId="4" fillId="10" borderId="0" xfId="0" applyNumberFormat="1" applyFont="1" applyFill="1"/>
    <xf numFmtId="0" fontId="5" fillId="10" borderId="0" xfId="0" applyFont="1" applyFill="1"/>
    <xf numFmtId="166" fontId="0" fillId="0" borderId="0" xfId="0" applyNumberFormat="1"/>
    <xf numFmtId="0" fontId="8" fillId="0" borderId="0" xfId="0" applyFont="1"/>
    <xf numFmtId="0" fontId="0" fillId="0" borderId="13" xfId="0" applyBorder="1"/>
    <xf numFmtId="9" fontId="0" fillId="0" borderId="13" xfId="0" applyNumberFormat="1" applyBorder="1"/>
    <xf numFmtId="2" fontId="0" fillId="0" borderId="13" xfId="0" applyNumberFormat="1" applyBorder="1"/>
    <xf numFmtId="1" fontId="0" fillId="0" borderId="13" xfId="0" applyNumberFormat="1" applyBorder="1"/>
    <xf numFmtId="0" fontId="9" fillId="0" borderId="0" xfId="0" applyFont="1"/>
    <xf numFmtId="166" fontId="0" fillId="0" borderId="13" xfId="0" applyNumberFormat="1" applyBorder="1"/>
    <xf numFmtId="4" fontId="0" fillId="0" borderId="13" xfId="0" applyNumberFormat="1" applyBorder="1"/>
    <xf numFmtId="0" fontId="0" fillId="11" borderId="13" xfId="0" applyFill="1" applyBorder="1"/>
    <xf numFmtId="2" fontId="0" fillId="0" borderId="0" xfId="0" applyNumberFormat="1"/>
    <xf numFmtId="0" fontId="4" fillId="12" borderId="0" xfId="0" applyFont="1" applyFill="1"/>
    <xf numFmtId="4" fontId="4" fillId="12" borderId="0" xfId="0" applyNumberFormat="1" applyFont="1" applyFill="1"/>
    <xf numFmtId="166" fontId="0" fillId="11" borderId="13" xfId="0" applyNumberFormat="1" applyFill="1" applyBorder="1"/>
    <xf numFmtId="9" fontId="0" fillId="11" borderId="13" xfId="1" applyFont="1" applyFill="1" applyBorder="1"/>
    <xf numFmtId="0" fontId="0" fillId="13" borderId="0" xfId="0" applyFill="1" applyAlignment="1">
      <alignment horizontal="center" vertical="center"/>
    </xf>
    <xf numFmtId="0" fontId="2" fillId="13" borderId="18" xfId="0" applyFont="1" applyFill="1" applyBorder="1" applyAlignment="1">
      <alignment horizontal="left" vertical="center"/>
    </xf>
    <xf numFmtId="0" fontId="2" fillId="13" borderId="17" xfId="0" applyFont="1" applyFill="1" applyBorder="1" applyAlignment="1">
      <alignment horizontal="left" vertical="center"/>
    </xf>
    <xf numFmtId="0" fontId="0" fillId="13" borderId="20" xfId="0" applyFill="1" applyBorder="1" applyAlignment="1">
      <alignment horizontal="center" vertical="center"/>
    </xf>
    <xf numFmtId="0" fontId="0" fillId="13" borderId="18" xfId="0" applyFill="1" applyBorder="1" applyAlignment="1">
      <alignment horizontal="left" vertical="center"/>
    </xf>
    <xf numFmtId="9" fontId="0" fillId="13" borderId="0" xfId="0" applyNumberFormat="1" applyFill="1" applyAlignment="1">
      <alignment horizontal="center" vertical="center"/>
    </xf>
    <xf numFmtId="166" fontId="0" fillId="13" borderId="0" xfId="0" applyNumberFormat="1" applyFill="1" applyAlignment="1">
      <alignment horizontal="center" vertical="center"/>
    </xf>
    <xf numFmtId="0" fontId="0" fillId="13" borderId="0" xfId="0" applyFill="1" applyAlignment="1">
      <alignment horizontal="left" vertical="center"/>
    </xf>
    <xf numFmtId="0" fontId="0" fillId="13" borderId="17" xfId="0" applyFill="1" applyBorder="1" applyAlignment="1">
      <alignment horizontal="left" vertical="center"/>
    </xf>
    <xf numFmtId="166" fontId="0" fillId="13" borderId="22" xfId="0" applyNumberFormat="1" applyFill="1" applyBorder="1" applyAlignment="1">
      <alignment horizontal="center" vertical="center"/>
    </xf>
    <xf numFmtId="0" fontId="18" fillId="0" borderId="13" xfId="0" applyFont="1" applyBorder="1"/>
    <xf numFmtId="0" fontId="0" fillId="0" borderId="24" xfId="0" applyBorder="1"/>
    <xf numFmtId="0" fontId="0" fillId="0" borderId="25" xfId="0" applyBorder="1"/>
    <xf numFmtId="0" fontId="0" fillId="0" borderId="24" xfId="0" applyBorder="1" applyAlignment="1">
      <alignment horizontal="center"/>
    </xf>
    <xf numFmtId="0" fontId="19" fillId="0" borderId="0" xfId="0" applyFont="1"/>
    <xf numFmtId="9" fontId="0" fillId="5" borderId="13" xfId="0" applyNumberFormat="1" applyFill="1" applyBorder="1"/>
    <xf numFmtId="2" fontId="17" fillId="0" borderId="0" xfId="0" applyNumberFormat="1" applyFont="1"/>
    <xf numFmtId="0" fontId="4" fillId="5" borderId="0" xfId="0" applyFont="1" applyFill="1"/>
    <xf numFmtId="4" fontId="4" fillId="5" borderId="0" xfId="0" applyNumberFormat="1" applyFont="1" applyFill="1"/>
    <xf numFmtId="0" fontId="4" fillId="12" borderId="0" xfId="0" applyFont="1" applyFill="1" applyAlignment="1">
      <alignment wrapText="1"/>
    </xf>
    <xf numFmtId="2" fontId="5" fillId="4" borderId="0" xfId="0" applyNumberFormat="1" applyFont="1" applyFill="1"/>
    <xf numFmtId="2" fontId="4" fillId="12" borderId="0" xfId="0" applyNumberFormat="1" applyFont="1" applyFill="1"/>
    <xf numFmtId="169" fontId="4" fillId="10" borderId="0" xfId="0" applyNumberFormat="1" applyFont="1" applyFill="1"/>
    <xf numFmtId="0" fontId="20" fillId="6" borderId="0" xfId="0" applyFont="1" applyFill="1"/>
    <xf numFmtId="4" fontId="20" fillId="7" borderId="0" xfId="0" applyNumberFormat="1" applyFont="1" applyFill="1"/>
    <xf numFmtId="164" fontId="20" fillId="7" borderId="0" xfId="1" applyNumberFormat="1" applyFont="1" applyFill="1" applyBorder="1" applyAlignment="1" applyProtection="1"/>
    <xf numFmtId="0" fontId="5" fillId="11" borderId="0" xfId="0" applyFont="1" applyFill="1"/>
    <xf numFmtId="2" fontId="5" fillId="11" borderId="0" xfId="0" applyNumberFormat="1" applyFont="1" applyFill="1"/>
    <xf numFmtId="4" fontId="5" fillId="11" borderId="0" xfId="0" applyNumberFormat="1" applyFont="1" applyFill="1"/>
    <xf numFmtId="0" fontId="20" fillId="6" borderId="6" xfId="0" applyFont="1" applyFill="1" applyBorder="1"/>
    <xf numFmtId="0" fontId="21" fillId="6" borderId="6" xfId="0" applyFont="1" applyFill="1" applyBorder="1" applyAlignment="1">
      <alignment horizontal="center" wrapText="1"/>
    </xf>
    <xf numFmtId="0" fontId="4" fillId="4" borderId="6" xfId="0" applyFont="1" applyFill="1" applyBorder="1"/>
    <xf numFmtId="4" fontId="4" fillId="4" borderId="6" xfId="0" applyNumberFormat="1" applyFont="1" applyFill="1" applyBorder="1"/>
    <xf numFmtId="4" fontId="5" fillId="4" borderId="6" xfId="0" applyNumberFormat="1" applyFont="1" applyFill="1" applyBorder="1"/>
    <xf numFmtId="168" fontId="4" fillId="4" borderId="6" xfId="0" applyNumberFormat="1" applyFont="1" applyFill="1" applyBorder="1"/>
    <xf numFmtId="168" fontId="5" fillId="11" borderId="0" xfId="0" applyNumberFormat="1" applyFont="1" applyFill="1"/>
    <xf numFmtId="168" fontId="4" fillId="10" borderId="0" xfId="0" applyNumberFormat="1" applyFont="1" applyFill="1"/>
    <xf numFmtId="168" fontId="4" fillId="9" borderId="0" xfId="0" applyNumberFormat="1" applyFont="1" applyFill="1"/>
    <xf numFmtId="168" fontId="4" fillId="5" borderId="0" xfId="0" applyNumberFormat="1" applyFont="1" applyFill="1"/>
    <xf numFmtId="168" fontId="4" fillId="12" borderId="0" xfId="0" applyNumberFormat="1" applyFont="1" applyFill="1"/>
    <xf numFmtId="168" fontId="4" fillId="3" borderId="0" xfId="0" applyNumberFormat="1" applyFont="1" applyFill="1"/>
    <xf numFmtId="168" fontId="5" fillId="4" borderId="0" xfId="0" applyNumberFormat="1" applyFont="1" applyFill="1"/>
    <xf numFmtId="0" fontId="14" fillId="13" borderId="15" xfId="0" applyFont="1" applyFill="1" applyBorder="1" applyAlignment="1">
      <alignment horizontal="right" vertical="center"/>
    </xf>
    <xf numFmtId="170" fontId="0" fillId="13" borderId="0" xfId="0" applyNumberFormat="1" applyFill="1" applyAlignment="1">
      <alignment horizontal="center" vertical="center"/>
    </xf>
    <xf numFmtId="2" fontId="4" fillId="9" borderId="0" xfId="0" applyNumberFormat="1" applyFont="1" applyFill="1"/>
    <xf numFmtId="0" fontId="0" fillId="0" borderId="0" xfId="0" applyAlignment="1">
      <alignment horizontal="center" wrapText="1"/>
    </xf>
    <xf numFmtId="43" fontId="0" fillId="0" borderId="0" xfId="2" applyFont="1"/>
    <xf numFmtId="0" fontId="22" fillId="0" borderId="0" xfId="0" applyFont="1"/>
    <xf numFmtId="0" fontId="36" fillId="0" borderId="0" xfId="0" applyFont="1"/>
    <xf numFmtId="0" fontId="9" fillId="13" borderId="17" xfId="0" applyFont="1" applyFill="1" applyBorder="1" applyAlignment="1">
      <alignment horizontal="left" vertical="center"/>
    </xf>
    <xf numFmtId="0" fontId="0" fillId="13" borderId="37" xfId="0" applyFill="1" applyBorder="1" applyAlignment="1">
      <alignment horizontal="center" vertical="center"/>
    </xf>
    <xf numFmtId="166" fontId="0" fillId="13" borderId="13" xfId="0" applyNumberFormat="1" applyFill="1" applyBorder="1"/>
    <xf numFmtId="2" fontId="0" fillId="11" borderId="13" xfId="0" applyNumberFormat="1" applyFill="1" applyBorder="1"/>
    <xf numFmtId="0" fontId="36" fillId="13" borderId="8" xfId="0" applyFont="1" applyFill="1" applyBorder="1" applyAlignment="1">
      <alignment horizontal="center" vertical="center"/>
    </xf>
    <xf numFmtId="0" fontId="38" fillId="8" borderId="12" xfId="0" applyFont="1" applyFill="1" applyBorder="1" applyAlignment="1">
      <alignment horizontal="center"/>
    </xf>
    <xf numFmtId="0" fontId="38" fillId="8" borderId="11" xfId="0" applyFont="1" applyFill="1" applyBorder="1" applyAlignment="1">
      <alignment horizontal="center"/>
    </xf>
    <xf numFmtId="0" fontId="39" fillId="13" borderId="7" xfId="0" applyFont="1" applyFill="1" applyBorder="1" applyAlignment="1">
      <alignment horizontal="center" vertical="center"/>
    </xf>
    <xf numFmtId="0" fontId="39" fillId="13" borderId="10" xfId="0" applyFont="1" applyFill="1" applyBorder="1" applyAlignment="1">
      <alignment horizontal="center" vertical="center"/>
    </xf>
    <xf numFmtId="169" fontId="0" fillId="0" borderId="0" xfId="0" applyNumberFormat="1"/>
    <xf numFmtId="172" fontId="0" fillId="0" borderId="0" xfId="0" applyNumberFormat="1"/>
    <xf numFmtId="2" fontId="0" fillId="0" borderId="0" xfId="0" applyNumberFormat="1" applyProtection="1">
      <protection locked="0"/>
    </xf>
    <xf numFmtId="170" fontId="0" fillId="0" borderId="0" xfId="0" applyNumberFormat="1"/>
    <xf numFmtId="171" fontId="0" fillId="0" borderId="0" xfId="1" applyNumberFormat="1" applyFont="1"/>
    <xf numFmtId="9" fontId="15" fillId="13" borderId="0" xfId="1" applyFont="1" applyFill="1" applyBorder="1" applyAlignment="1">
      <alignment horizontal="right" vertical="center"/>
    </xf>
    <xf numFmtId="9" fontId="15" fillId="13" borderId="20" xfId="1" applyFont="1" applyFill="1" applyBorder="1" applyAlignment="1">
      <alignment horizontal="right" vertical="center"/>
    </xf>
    <xf numFmtId="9" fontId="0" fillId="11" borderId="13" xfId="1" applyFont="1" applyFill="1" applyBorder="1" applyAlignment="1">
      <alignment horizontal="right"/>
    </xf>
    <xf numFmtId="1" fontId="0" fillId="0" borderId="13" xfId="0" applyNumberFormat="1" applyBorder="1" applyAlignment="1">
      <alignment horizontal="right"/>
    </xf>
    <xf numFmtId="0" fontId="6" fillId="8" borderId="5" xfId="0" applyFont="1" applyFill="1" applyBorder="1" applyAlignment="1">
      <alignment horizontal="center"/>
    </xf>
    <xf numFmtId="0" fontId="38" fillId="8" borderId="0" xfId="0" applyFont="1" applyFill="1" applyAlignment="1">
      <alignment horizontal="center"/>
    </xf>
    <xf numFmtId="0" fontId="39" fillId="13" borderId="0" xfId="0" applyFont="1" applyFill="1" applyAlignment="1">
      <alignment horizontal="center" vertical="center"/>
    </xf>
    <xf numFmtId="173" fontId="0" fillId="0" borderId="8" xfId="1" applyNumberFormat="1" applyFont="1" applyBorder="1"/>
    <xf numFmtId="165" fontId="7" fillId="0" borderId="5" xfId="0" applyNumberFormat="1" applyFont="1" applyBorder="1" applyAlignment="1">
      <alignment horizontal="center" vertical="center"/>
    </xf>
    <xf numFmtId="0" fontId="0" fillId="0" borderId="39" xfId="0" applyBorder="1"/>
    <xf numFmtId="173" fontId="0" fillId="0" borderId="39" xfId="1" applyNumberFormat="1" applyFont="1" applyBorder="1"/>
    <xf numFmtId="165" fontId="0" fillId="0" borderId="39" xfId="0" applyNumberFormat="1" applyBorder="1"/>
    <xf numFmtId="165" fontId="7" fillId="0" borderId="9" xfId="0" applyNumberFormat="1" applyFont="1" applyBorder="1" applyAlignment="1">
      <alignment horizontal="center" vertical="center"/>
    </xf>
    <xf numFmtId="173" fontId="0" fillId="0" borderId="5" xfId="1" applyNumberFormat="1" applyFont="1" applyBorder="1"/>
    <xf numFmtId="2" fontId="36" fillId="11" borderId="13" xfId="0" applyNumberFormat="1" applyFont="1" applyFill="1" applyBorder="1" applyAlignment="1">
      <alignment horizontal="right"/>
    </xf>
    <xf numFmtId="2" fontId="36" fillId="0" borderId="13" xfId="0" applyNumberFormat="1" applyFont="1" applyBorder="1" applyAlignment="1">
      <alignment horizontal="right"/>
    </xf>
    <xf numFmtId="174" fontId="0" fillId="0" borderId="8" xfId="0" applyNumberFormat="1" applyBorder="1"/>
    <xf numFmtId="174" fontId="0" fillId="0" borderId="39" xfId="0" applyNumberFormat="1" applyBorder="1"/>
    <xf numFmtId="0" fontId="2" fillId="13" borderId="0" xfId="0" applyFont="1" applyFill="1" applyAlignment="1">
      <alignment horizontal="center" vertical="center"/>
    </xf>
    <xf numFmtId="171" fontId="0" fillId="11" borderId="13" xfId="0" applyNumberFormat="1" applyFill="1" applyBorder="1"/>
    <xf numFmtId="171" fontId="0" fillId="0" borderId="13" xfId="0" applyNumberFormat="1" applyBorder="1"/>
    <xf numFmtId="0" fontId="40" fillId="0" borderId="0" xfId="0" applyFont="1"/>
    <xf numFmtId="166" fontId="0" fillId="13" borderId="20" xfId="0" applyNumberFormat="1" applyFill="1" applyBorder="1" applyAlignment="1">
      <alignment horizontal="center" vertical="center"/>
    </xf>
    <xf numFmtId="166" fontId="0" fillId="13" borderId="43" xfId="0" applyNumberFormat="1" applyFill="1" applyBorder="1" applyAlignment="1">
      <alignment horizontal="center" vertical="center"/>
    </xf>
    <xf numFmtId="9" fontId="9" fillId="13" borderId="43" xfId="1" applyFont="1" applyFill="1" applyBorder="1" applyAlignment="1">
      <alignment horizontal="right" vertical="center"/>
    </xf>
    <xf numFmtId="166" fontId="9" fillId="13" borderId="43" xfId="0" applyNumberFormat="1" applyFont="1" applyFill="1" applyBorder="1" applyAlignment="1">
      <alignment horizontal="center" vertical="center"/>
    </xf>
    <xf numFmtId="0" fontId="0" fillId="13" borderId="41" xfId="0" applyFill="1" applyBorder="1" applyAlignment="1">
      <alignment horizontal="center" vertical="center"/>
    </xf>
    <xf numFmtId="0" fontId="0" fillId="13" borderId="47" xfId="0" applyFill="1" applyBorder="1" applyAlignment="1">
      <alignment horizontal="center" vertical="center"/>
    </xf>
    <xf numFmtId="0" fontId="14" fillId="13" borderId="16" xfId="0" applyFont="1" applyFill="1" applyBorder="1" applyAlignment="1">
      <alignment horizontal="center" vertical="center"/>
    </xf>
    <xf numFmtId="166" fontId="9" fillId="13" borderId="43" xfId="1" applyNumberFormat="1" applyFont="1" applyFill="1" applyBorder="1" applyAlignment="1">
      <alignment vertical="center"/>
    </xf>
    <xf numFmtId="166" fontId="0" fillId="13" borderId="43" xfId="0" applyNumberFormat="1" applyFill="1" applyBorder="1" applyAlignment="1">
      <alignment vertical="center"/>
    </xf>
    <xf numFmtId="0" fontId="9" fillId="13" borderId="42" xfId="0" applyFont="1" applyFill="1" applyBorder="1" applyAlignment="1">
      <alignment horizontal="left" vertical="center"/>
    </xf>
    <xf numFmtId="0" fontId="0" fillId="13" borderId="48" xfId="0" applyFill="1" applyBorder="1" applyAlignment="1">
      <alignment horizontal="left" vertical="center"/>
    </xf>
    <xf numFmtId="0" fontId="0" fillId="13" borderId="49" xfId="0" applyFill="1" applyBorder="1" applyAlignment="1">
      <alignment horizontal="center" vertical="center"/>
    </xf>
    <xf numFmtId="166" fontId="0" fillId="13" borderId="46" xfId="0" applyNumberFormat="1" applyFill="1" applyBorder="1" applyAlignment="1">
      <alignment vertical="center"/>
    </xf>
    <xf numFmtId="0" fontId="0" fillId="0" borderId="17" xfId="0" applyBorder="1" applyAlignment="1">
      <alignment horizontal="left" vertical="center"/>
    </xf>
    <xf numFmtId="0" fontId="42" fillId="13" borderId="0" xfId="0" applyFont="1" applyFill="1" applyAlignment="1">
      <alignment horizontal="center" vertical="center"/>
    </xf>
    <xf numFmtId="0" fontId="8" fillId="13" borderId="20" xfId="0" applyFont="1" applyFill="1" applyBorder="1" applyAlignment="1">
      <alignment horizontal="center" vertical="center"/>
    </xf>
    <xf numFmtId="0" fontId="8" fillId="13" borderId="0" xfId="0" applyFont="1" applyFill="1" applyAlignment="1">
      <alignment horizontal="center" vertical="center"/>
    </xf>
    <xf numFmtId="0" fontId="0" fillId="13" borderId="52" xfId="0" applyFill="1" applyBorder="1" applyAlignment="1">
      <alignment horizontal="left" vertical="center"/>
    </xf>
    <xf numFmtId="2" fontId="0" fillId="13" borderId="52" xfId="0" applyNumberFormat="1" applyFill="1" applyBorder="1" applyAlignment="1">
      <alignment horizontal="center" vertical="center"/>
    </xf>
    <xf numFmtId="0" fontId="0" fillId="13" borderId="52" xfId="0" applyFill="1" applyBorder="1" applyAlignment="1">
      <alignment horizontal="center" vertical="center"/>
    </xf>
    <xf numFmtId="0" fontId="43" fillId="13" borderId="53" xfId="0" applyFont="1" applyFill="1" applyBorder="1" applyAlignment="1">
      <alignment horizontal="left" vertical="center"/>
    </xf>
    <xf numFmtId="2" fontId="0" fillId="13" borderId="54" xfId="0" applyNumberFormat="1" applyFill="1" applyBorder="1" applyAlignment="1">
      <alignment horizontal="center" vertical="center"/>
    </xf>
    <xf numFmtId="0" fontId="0" fillId="13" borderId="54" xfId="0" applyFill="1" applyBorder="1" applyAlignment="1">
      <alignment horizontal="center" vertical="center"/>
    </xf>
    <xf numFmtId="0" fontId="0" fillId="13" borderId="0" xfId="0" applyFill="1" applyAlignment="1">
      <alignment vertical="center"/>
    </xf>
    <xf numFmtId="171" fontId="43" fillId="13" borderId="55" xfId="1" applyNumberFormat="1" applyFont="1" applyFill="1" applyBorder="1" applyAlignment="1">
      <alignment horizontal="center" vertical="center"/>
    </xf>
    <xf numFmtId="165" fontId="39" fillId="13" borderId="5" xfId="0" applyNumberFormat="1" applyFont="1" applyFill="1" applyBorder="1" applyAlignment="1">
      <alignment horizontal="center" vertical="center"/>
    </xf>
    <xf numFmtId="165" fontId="39" fillId="13" borderId="9" xfId="0" applyNumberFormat="1" applyFont="1" applyFill="1" applyBorder="1" applyAlignment="1">
      <alignment horizontal="center" vertical="center"/>
    </xf>
    <xf numFmtId="0" fontId="9" fillId="0" borderId="0" xfId="0" applyFont="1" applyAlignment="1">
      <alignment horizontal="right"/>
    </xf>
    <xf numFmtId="0" fontId="44" fillId="0" borderId="0" xfId="0" applyFont="1" applyAlignment="1">
      <alignment horizontal="right"/>
    </xf>
    <xf numFmtId="0" fontId="45" fillId="0" borderId="0" xfId="44" applyAlignment="1">
      <alignment horizontal="right"/>
    </xf>
    <xf numFmtId="9" fontId="9" fillId="0" borderId="0" xfId="1" applyFont="1"/>
    <xf numFmtId="175" fontId="0" fillId="11" borderId="13" xfId="0" quotePrefix="1" applyNumberFormat="1" applyFill="1" applyBorder="1"/>
    <xf numFmtId="10" fontId="0" fillId="0" borderId="13" xfId="0" applyNumberFormat="1" applyBorder="1"/>
    <xf numFmtId="0" fontId="49" fillId="46" borderId="0" xfId="0" applyFont="1" applyFill="1" applyAlignment="1">
      <alignment horizontal="right" vertical="center"/>
    </xf>
    <xf numFmtId="176" fontId="2" fillId="13" borderId="0" xfId="0" applyNumberFormat="1" applyFont="1" applyFill="1" applyAlignment="1">
      <alignment horizontal="center" vertical="center"/>
    </xf>
    <xf numFmtId="166" fontId="0" fillId="13" borderId="20" xfId="0" applyNumberFormat="1" applyFill="1" applyBorder="1" applyAlignment="1">
      <alignment horizontal="right" vertical="center"/>
    </xf>
    <xf numFmtId="0" fontId="50" fillId="46" borderId="17" xfId="0" applyFont="1" applyFill="1" applyBorder="1" applyAlignment="1">
      <alignment horizontal="left" vertical="center"/>
    </xf>
    <xf numFmtId="0" fontId="0" fillId="13" borderId="0" xfId="0" applyFill="1" applyBorder="1" applyAlignment="1">
      <alignment horizontal="center" vertical="center"/>
    </xf>
    <xf numFmtId="0" fontId="41" fillId="47" borderId="17" xfId="0" applyFont="1" applyFill="1" applyBorder="1" applyAlignment="1">
      <alignment horizontal="left" vertical="center"/>
    </xf>
    <xf numFmtId="0" fontId="41" fillId="47" borderId="21" xfId="0" applyFont="1" applyFill="1" applyBorder="1" applyAlignment="1">
      <alignment horizontal="left" vertical="center"/>
    </xf>
    <xf numFmtId="166" fontId="41" fillId="48" borderId="22" xfId="0" applyNumberFormat="1" applyFont="1" applyFill="1" applyBorder="1" applyAlignment="1">
      <alignment horizontal="center" vertical="center"/>
    </xf>
    <xf numFmtId="0" fontId="41" fillId="48" borderId="18" xfId="0" applyFont="1" applyFill="1" applyBorder="1" applyAlignment="1">
      <alignment horizontal="left" vertical="center"/>
    </xf>
    <xf numFmtId="0" fontId="41" fillId="48" borderId="23" xfId="0" applyFont="1" applyFill="1" applyBorder="1" applyAlignment="1">
      <alignment horizontal="center" vertical="center"/>
    </xf>
    <xf numFmtId="166" fontId="41" fillId="48" borderId="23" xfId="0" applyNumberFormat="1" applyFont="1" applyFill="1" applyBorder="1" applyAlignment="1">
      <alignment horizontal="center" vertical="center"/>
    </xf>
    <xf numFmtId="166" fontId="41" fillId="48" borderId="19" xfId="0" applyNumberFormat="1" applyFont="1" applyFill="1" applyBorder="1" applyAlignment="1">
      <alignment horizontal="center" vertical="center"/>
    </xf>
    <xf numFmtId="0" fontId="51" fillId="49" borderId="56" xfId="0" applyFont="1" applyFill="1" applyBorder="1" applyAlignment="1">
      <alignment horizontal="center" vertical="center"/>
    </xf>
    <xf numFmtId="0" fontId="12" fillId="50" borderId="38" xfId="0" applyFont="1" applyFill="1" applyBorder="1" applyAlignment="1">
      <alignment horizontal="left" vertical="center"/>
    </xf>
    <xf numFmtId="166" fontId="12" fillId="50" borderId="44" xfId="0" applyNumberFormat="1" applyFont="1" applyFill="1" applyBorder="1" applyAlignment="1">
      <alignment vertical="center"/>
    </xf>
    <xf numFmtId="166" fontId="12" fillId="50" borderId="45" xfId="0" applyNumberFormat="1" applyFont="1" applyFill="1" applyBorder="1" applyAlignment="1">
      <alignment vertical="center"/>
    </xf>
    <xf numFmtId="0" fontId="12" fillId="50" borderId="36" xfId="0" applyFont="1" applyFill="1" applyBorder="1" applyAlignment="1">
      <alignment horizontal="center" vertical="center"/>
    </xf>
    <xf numFmtId="0" fontId="43" fillId="13" borderId="0" xfId="0" applyFont="1" applyFill="1" applyBorder="1" applyAlignment="1">
      <alignment horizontal="left" vertical="center"/>
    </xf>
    <xf numFmtId="2" fontId="0" fillId="13" borderId="0" xfId="0" applyNumberFormat="1" applyFill="1" applyBorder="1" applyAlignment="1">
      <alignment horizontal="center" vertical="center"/>
    </xf>
    <xf numFmtId="171" fontId="43" fillId="13" borderId="0" xfId="1" applyNumberFormat="1" applyFont="1" applyFill="1" applyBorder="1" applyAlignment="1">
      <alignment horizontal="center" vertical="center"/>
    </xf>
    <xf numFmtId="0" fontId="0" fillId="0" borderId="57" xfId="0" applyBorder="1"/>
    <xf numFmtId="176" fontId="0" fillId="11" borderId="13" xfId="0" applyNumberFormat="1" applyFill="1" applyBorder="1"/>
    <xf numFmtId="0" fontId="0" fillId="11" borderId="13" xfId="0" applyFill="1" applyBorder="1" applyAlignment="1">
      <alignment horizontal="right"/>
    </xf>
    <xf numFmtId="0" fontId="49" fillId="46" borderId="13" xfId="0" applyFont="1" applyFill="1" applyBorder="1" applyAlignment="1">
      <alignment horizontal="left" vertical="center"/>
    </xf>
    <xf numFmtId="0" fontId="52" fillId="0" borderId="26" xfId="0" applyFont="1" applyBorder="1" applyAlignment="1">
      <alignment vertical="center"/>
    </xf>
    <xf numFmtId="0" fontId="48" fillId="0" borderId="59" xfId="0" applyFont="1" applyBorder="1"/>
    <xf numFmtId="0" fontId="48" fillId="0" borderId="60" xfId="0" applyFont="1" applyBorder="1"/>
    <xf numFmtId="0" fontId="48" fillId="0" borderId="60" xfId="0" applyFont="1" applyBorder="1" applyAlignment="1">
      <alignment wrapText="1"/>
    </xf>
    <xf numFmtId="0" fontId="48" fillId="0" borderId="61" xfId="0" applyFont="1" applyBorder="1" applyAlignment="1">
      <alignment wrapText="1"/>
    </xf>
    <xf numFmtId="0" fontId="48" fillId="0" borderId="62" xfId="0" applyFont="1" applyBorder="1" applyAlignment="1">
      <alignment wrapText="1"/>
    </xf>
    <xf numFmtId="0" fontId="48" fillId="0" borderId="63" xfId="0" applyFont="1" applyBorder="1" applyAlignment="1">
      <alignment wrapText="1"/>
    </xf>
    <xf numFmtId="0" fontId="48" fillId="0" borderId="64" xfId="0" applyFont="1" applyBorder="1" applyAlignment="1">
      <alignment wrapText="1"/>
    </xf>
    <xf numFmtId="0" fontId="37" fillId="13" borderId="50" xfId="0" applyFont="1" applyFill="1" applyBorder="1" applyAlignment="1">
      <alignment horizontal="center" vertical="center" wrapText="1"/>
    </xf>
    <xf numFmtId="0" fontId="37" fillId="13" borderId="51" xfId="0" applyFont="1" applyFill="1" applyBorder="1" applyAlignment="1">
      <alignment horizontal="center" vertical="center" wrapText="1"/>
    </xf>
    <xf numFmtId="0" fontId="37" fillId="13" borderId="58" xfId="0" applyFont="1" applyFill="1" applyBorder="1" applyAlignment="1">
      <alignment horizontal="center" vertical="center" wrapText="1"/>
    </xf>
    <xf numFmtId="0" fontId="14" fillId="46" borderId="14" xfId="0" applyFont="1" applyFill="1" applyBorder="1" applyAlignment="1">
      <alignment horizontal="center" vertical="center"/>
    </xf>
    <xf numFmtId="0" fontId="14" fillId="46" borderId="15" xfId="0" applyFont="1" applyFill="1" applyBorder="1" applyAlignment="1">
      <alignment horizontal="center" vertical="center"/>
    </xf>
    <xf numFmtId="9" fontId="9" fillId="13" borderId="0" xfId="1" applyFont="1" applyFill="1" applyBorder="1" applyAlignment="1">
      <alignment horizontal="right" vertical="center"/>
    </xf>
    <xf numFmtId="9" fontId="9" fillId="13" borderId="20" xfId="1" applyFont="1" applyFill="1" applyBorder="1" applyAlignment="1">
      <alignment horizontal="right" vertical="center"/>
    </xf>
    <xf numFmtId="0" fontId="13" fillId="46" borderId="0" xfId="0" applyFont="1" applyFill="1" applyAlignment="1">
      <alignment horizontal="center" vertical="center"/>
    </xf>
    <xf numFmtId="0" fontId="13" fillId="46" borderId="21" xfId="0" applyFont="1" applyFill="1" applyBorder="1" applyAlignment="1">
      <alignment horizontal="center" vertical="center"/>
    </xf>
    <xf numFmtId="167" fontId="2" fillId="13" borderId="23" xfId="0" applyNumberFormat="1" applyFont="1" applyFill="1" applyBorder="1" applyAlignment="1">
      <alignment horizontal="center" vertical="center"/>
    </xf>
    <xf numFmtId="167" fontId="2" fillId="13" borderId="19" xfId="0" applyNumberFormat="1" applyFont="1" applyFill="1" applyBorder="1" applyAlignment="1">
      <alignment horizontal="center" vertical="center"/>
    </xf>
    <xf numFmtId="168" fontId="2" fillId="13" borderId="0" xfId="0" applyNumberFormat="1" applyFont="1" applyFill="1" applyAlignment="1">
      <alignment horizontal="right" vertical="center"/>
    </xf>
    <xf numFmtId="168" fontId="2" fillId="13" borderId="20" xfId="0" applyNumberFormat="1" applyFont="1" applyFill="1" applyBorder="1" applyAlignment="1">
      <alignment horizontal="right" vertical="center"/>
    </xf>
    <xf numFmtId="0" fontId="52" fillId="0" borderId="65" xfId="0" applyFont="1" applyBorder="1" applyAlignment="1">
      <alignment vertical="center"/>
    </xf>
    <xf numFmtId="0" fontId="52" fillId="0" borderId="62" xfId="0" applyFont="1" applyBorder="1" applyAlignment="1">
      <alignment vertical="center"/>
    </xf>
    <xf numFmtId="0" fontId="52" fillId="0" borderId="66" xfId="0" applyFont="1" applyBorder="1" applyAlignment="1">
      <alignment vertical="center"/>
    </xf>
    <xf numFmtId="0" fontId="6" fillId="8" borderId="11" xfId="0" applyFont="1" applyFill="1" applyBorder="1" applyAlignment="1">
      <alignment horizontal="center"/>
    </xf>
    <xf numFmtId="0" fontId="6" fillId="8" borderId="40" xfId="0" applyFont="1" applyFill="1" applyBorder="1" applyAlignment="1">
      <alignment horizontal="center"/>
    </xf>
    <xf numFmtId="0" fontId="9" fillId="14" borderId="26" xfId="0" applyFont="1" applyFill="1" applyBorder="1" applyAlignment="1">
      <alignment horizontal="center" vertical="center" wrapText="1"/>
    </xf>
    <xf numFmtId="0" fontId="9" fillId="14" borderId="24" xfId="0" applyFont="1" applyFill="1" applyBorder="1" applyAlignment="1">
      <alignment horizontal="center" vertical="center" wrapText="1"/>
    </xf>
    <xf numFmtId="0" fontId="9" fillId="14" borderId="25" xfId="0" applyFont="1" applyFill="1" applyBorder="1" applyAlignment="1">
      <alignment horizontal="center" vertical="center" wrapText="1"/>
    </xf>
    <xf numFmtId="0" fontId="3" fillId="2" borderId="1" xfId="0" applyFont="1" applyFill="1" applyBorder="1" applyAlignment="1">
      <alignment horizontal="center" vertical="center" wrapText="1"/>
    </xf>
    <xf numFmtId="0" fontId="3" fillId="2" borderId="2" xfId="0" applyFont="1" applyFill="1" applyBorder="1" applyAlignment="1">
      <alignment horizontal="center" vertical="center" wrapText="1"/>
    </xf>
    <xf numFmtId="0" fontId="3" fillId="2" borderId="3" xfId="0" applyFont="1" applyFill="1" applyBorder="1" applyAlignment="1">
      <alignment horizontal="center" vertical="center" wrapText="1"/>
    </xf>
  </cellXfs>
  <cellStyles count="45">
    <cellStyle name="20 % - Accent1" xfId="21" builtinId="30" customBuiltin="1"/>
    <cellStyle name="20 % - Accent2" xfId="25" builtinId="34" customBuiltin="1"/>
    <cellStyle name="20 % - Accent3" xfId="29" builtinId="38" customBuiltin="1"/>
    <cellStyle name="20 % - Accent4" xfId="33" builtinId="42" customBuiltin="1"/>
    <cellStyle name="20 % - Accent5" xfId="37" builtinId="46" customBuiltin="1"/>
    <cellStyle name="20 % - Accent6" xfId="41" builtinId="50" customBuiltin="1"/>
    <cellStyle name="40 % - Accent1" xfId="22" builtinId="31" customBuiltin="1"/>
    <cellStyle name="40 % - Accent2" xfId="26" builtinId="35" customBuiltin="1"/>
    <cellStyle name="40 % - Accent3" xfId="30" builtinId="39" customBuiltin="1"/>
    <cellStyle name="40 % - Accent4" xfId="34" builtinId="43" customBuiltin="1"/>
    <cellStyle name="40 % - Accent5" xfId="38" builtinId="47" customBuiltin="1"/>
    <cellStyle name="40 % - Accent6" xfId="42" builtinId="51" customBuiltin="1"/>
    <cellStyle name="60 % - Accent1" xfId="23" builtinId="32" customBuiltin="1"/>
    <cellStyle name="60 % - Accent2" xfId="27" builtinId="36" customBuiltin="1"/>
    <cellStyle name="60 % - Accent3" xfId="31" builtinId="40" customBuiltin="1"/>
    <cellStyle name="60 % - Accent4" xfId="35" builtinId="44" customBuiltin="1"/>
    <cellStyle name="60 % - Accent5" xfId="39" builtinId="48" customBuiltin="1"/>
    <cellStyle name="60 % - Accent6" xfId="43" builtinId="52" customBuiltin="1"/>
    <cellStyle name="Accent1" xfId="20" builtinId="29" customBuiltin="1"/>
    <cellStyle name="Accent2" xfId="24" builtinId="33" customBuiltin="1"/>
    <cellStyle name="Accent3" xfId="28" builtinId="37" customBuiltin="1"/>
    <cellStyle name="Accent4" xfId="32" builtinId="41" customBuiltin="1"/>
    <cellStyle name="Accent5" xfId="36" builtinId="45" customBuiltin="1"/>
    <cellStyle name="Accent6" xfId="40" builtinId="49" customBuiltin="1"/>
    <cellStyle name="Avertissement" xfId="16" builtinId="11" customBuiltin="1"/>
    <cellStyle name="Calcul" xfId="13" builtinId="22" customBuiltin="1"/>
    <cellStyle name="Cellule liée" xfId="14" builtinId="24" customBuiltin="1"/>
    <cellStyle name="Entrée" xfId="11" builtinId="20" customBuiltin="1"/>
    <cellStyle name="Insatisfaisant" xfId="9" builtinId="27" customBuiltin="1"/>
    <cellStyle name="Lien hypertexte" xfId="44" builtinId="8"/>
    <cellStyle name="Milliers" xfId="2" builtinId="3"/>
    <cellStyle name="Neutre" xfId="10" builtinId="28" customBuiltin="1"/>
    <cellStyle name="Normal" xfId="0" builtinId="0"/>
    <cellStyle name="Note" xfId="17" builtinId="10" customBuiltin="1"/>
    <cellStyle name="Pourcentage" xfId="1" builtinId="5"/>
    <cellStyle name="Satisfaisant" xfId="8" builtinId="26" customBuiltin="1"/>
    <cellStyle name="Sortie" xfId="12" builtinId="21" customBuiltin="1"/>
    <cellStyle name="Texte explicatif" xfId="18" builtinId="53" customBuiltin="1"/>
    <cellStyle name="Titre" xfId="3" builtinId="15" customBuiltin="1"/>
    <cellStyle name="Titre 1" xfId="4" builtinId="16" customBuiltin="1"/>
    <cellStyle name="Titre 2" xfId="5" builtinId="17" customBuiltin="1"/>
    <cellStyle name="Titre 3" xfId="6" builtinId="18" customBuiltin="1"/>
    <cellStyle name="Titre 4" xfId="7" builtinId="19" customBuiltin="1"/>
    <cellStyle name="Total" xfId="19" builtinId="25" customBuiltin="1"/>
    <cellStyle name="Vérification" xfId="15" builtinId="23" customBuiltin="1"/>
  </cellStyles>
  <dxfs count="20">
    <dxf>
      <font>
        <b val="0"/>
        <i val="0"/>
        <strike val="0"/>
        <condense val="0"/>
        <extend val="0"/>
        <outline val="0"/>
        <shadow val="0"/>
        <u val="none"/>
        <vertAlign val="baseline"/>
        <sz val="10"/>
        <color theme="1"/>
        <name val="Arial"/>
        <family val="2"/>
        <scheme val="none"/>
      </font>
      <numFmt numFmtId="165" formatCode="#,##0.00\ [$€-1];[Red]\-#,##0.00\ [$€-1]"/>
      <alignment horizontal="center" vertical="center" textRotation="0" wrapText="0" indent="0" justifyLastLine="0" shrinkToFit="0" readingOrder="0"/>
      <border diagonalUp="0" diagonalDown="0">
        <left style="thin">
          <color auto="1"/>
        </left>
        <right/>
        <top style="thin">
          <color auto="1"/>
        </top>
        <bottom style="thin">
          <color auto="1"/>
        </bottom>
        <vertical/>
        <horizontal/>
      </border>
    </dxf>
    <dxf>
      <fill>
        <patternFill patternType="solid">
          <fgColor indexed="64"/>
          <bgColor theme="5" tint="0.59999389629810485"/>
        </patternFill>
      </fill>
      <alignment horizontal="center" vertical="bottom" textRotation="0" wrapText="0" indent="0" justifyLastLine="0" shrinkToFit="0" readingOrder="0"/>
      <border diagonalUp="0" diagonalDown="0" outline="0">
        <left/>
        <right/>
        <top style="thin">
          <color auto="1"/>
        </top>
        <bottom style="thin">
          <color auto="1"/>
        </bottom>
      </border>
    </dxf>
    <dxf>
      <numFmt numFmtId="165" formatCode="#,##0.00\ [$€-1];[Red]\-#,##0.00\ [$€-1]"/>
      <border diagonalUp="0" diagonalDown="0">
        <left style="thin">
          <color auto="1"/>
        </left>
        <right style="thin">
          <color auto="1"/>
        </right>
        <top style="thin">
          <color auto="1"/>
        </top>
        <bottom style="thin">
          <color auto="1"/>
        </bottom>
        <vertical/>
        <horizontal/>
      </border>
    </dxf>
    <dxf>
      <fill>
        <patternFill patternType="solid">
          <fgColor indexed="64"/>
          <bgColor theme="5" tint="0.59999389629810485"/>
        </patternFill>
      </fill>
      <alignment horizontal="center" vertical="bottom" textRotation="0" wrapText="0" indent="0" justifyLastLine="0" shrinkToFit="0" readingOrder="0"/>
      <border diagonalUp="0" diagonalDown="0" outline="0">
        <left/>
        <right/>
        <top style="thin">
          <color auto="1"/>
        </top>
        <bottom style="thin">
          <color auto="1"/>
        </bottom>
      </border>
    </dxf>
    <dxf>
      <font>
        <b val="0"/>
        <i val="0"/>
        <strike val="0"/>
        <condense val="0"/>
        <extend val="0"/>
        <outline val="0"/>
        <shadow val="0"/>
        <u val="none"/>
        <vertAlign val="baseline"/>
        <sz val="11"/>
        <color theme="1"/>
        <name val="Calibri"/>
        <family val="2"/>
        <scheme val="minor"/>
      </font>
      <numFmt numFmtId="173" formatCode="0.000%"/>
      <border diagonalUp="0" diagonalDown="0">
        <left style="thin">
          <color auto="1"/>
        </left>
        <right style="thin">
          <color auto="1"/>
        </right>
        <top style="thin">
          <color auto="1"/>
        </top>
        <bottom style="thin">
          <color auto="1"/>
        </bottom>
        <vertical/>
        <horizontal/>
      </border>
    </dxf>
    <dxf>
      <fill>
        <patternFill patternType="solid">
          <fgColor indexed="64"/>
          <bgColor theme="5" tint="0.59999389629810485"/>
        </patternFill>
      </fill>
      <alignment horizontal="center" vertical="bottom" textRotation="0" wrapText="0" indent="0" justifyLastLine="0" shrinkToFit="0" readingOrder="0"/>
      <border diagonalUp="0" diagonalDown="0" outline="0">
        <left/>
        <right/>
        <top style="thin">
          <color auto="1"/>
        </top>
        <bottom style="thin">
          <color auto="1"/>
        </bottom>
      </border>
    </dxf>
    <dxf>
      <numFmt numFmtId="165" formatCode="#,##0.00\ [$€-1];[Red]\-#,##0.00\ [$€-1]"/>
      <border diagonalUp="0" diagonalDown="0">
        <left style="thin">
          <color indexed="64"/>
        </left>
        <right style="thin">
          <color auto="1"/>
        </right>
        <top style="thin">
          <color auto="1"/>
        </top>
        <bottom style="thin">
          <color auto="1"/>
        </bottom>
        <vertical/>
        <horizontal style="thin">
          <color auto="1"/>
        </horizontal>
      </border>
    </dxf>
    <dxf>
      <fill>
        <patternFill patternType="solid">
          <fgColor indexed="64"/>
          <bgColor theme="5" tint="0.59999389629810485"/>
        </patternFill>
      </fill>
      <alignment horizontal="center" vertical="bottom" textRotation="0" wrapText="0" indent="0" justifyLastLine="0" shrinkToFit="0" readingOrder="0"/>
      <border diagonalUp="0" diagonalDown="0" outline="0">
        <left/>
        <right/>
        <top style="thin">
          <color auto="1"/>
        </top>
        <bottom style="thin">
          <color auto="1"/>
        </bottom>
      </border>
    </dxf>
    <dxf>
      <font>
        <b val="0"/>
        <i val="0"/>
        <strike val="0"/>
        <condense val="0"/>
        <extend val="0"/>
        <outline val="0"/>
        <shadow val="0"/>
        <u val="none"/>
        <vertAlign val="baseline"/>
        <sz val="11"/>
        <color theme="1"/>
        <name val="Calibri"/>
        <family val="2"/>
        <scheme val="minor"/>
      </font>
      <numFmt numFmtId="173" formatCode="0.000%"/>
      <border diagonalUp="0" diagonalDown="0">
        <left style="thin">
          <color auto="1"/>
        </left>
        <right style="thin">
          <color auto="1"/>
        </right>
        <top style="thin">
          <color auto="1"/>
        </top>
        <bottom style="thin">
          <color auto="1"/>
        </bottom>
        <vertical/>
        <horizontal/>
      </border>
    </dxf>
    <dxf>
      <fill>
        <patternFill patternType="solid">
          <fgColor indexed="64"/>
          <bgColor theme="5" tint="0.59999389629810485"/>
        </patternFill>
      </fill>
      <alignment horizontal="center" vertical="bottom" textRotation="0" wrapText="0" indent="0" justifyLastLine="0" shrinkToFit="0" readingOrder="0"/>
      <border diagonalUp="0" diagonalDown="0" outline="0">
        <left style="thin">
          <color auto="1"/>
        </left>
        <right/>
        <top style="thin">
          <color auto="1"/>
        </top>
        <bottom style="thin">
          <color auto="1"/>
        </bottom>
      </border>
    </dxf>
    <dxf>
      <border diagonalUp="0" diagonalDown="0">
        <left style="thin">
          <color auto="1"/>
        </left>
        <right style="thin">
          <color auto="1"/>
        </right>
        <top style="thin">
          <color auto="1"/>
        </top>
        <bottom style="thin">
          <color auto="1"/>
        </bottom>
        <vertical/>
        <horizontal/>
      </border>
    </dxf>
    <dxf>
      <border outline="0">
        <right style="thin">
          <color auto="1"/>
        </right>
        <bottom style="thin">
          <color auto="1"/>
        </bottom>
      </border>
    </dxf>
    <dxf>
      <fill>
        <patternFill patternType="solid">
          <fgColor indexed="64"/>
          <bgColor theme="5" tint="0.59999389629810485"/>
        </patternFill>
      </fill>
      <alignment horizontal="center" vertical="bottom" textRotation="0" wrapText="0" indent="0" justifyLastLine="0" shrinkToFit="0" readingOrder="0"/>
    </dxf>
    <dxf>
      <font>
        <b/>
        <i val="0"/>
        <strike val="0"/>
        <condense val="0"/>
        <extend val="0"/>
        <outline val="0"/>
        <shadow val="0"/>
        <u val="none"/>
        <vertAlign val="baseline"/>
        <sz val="10"/>
        <color auto="1"/>
        <name val="Calibri"/>
        <scheme val="minor"/>
      </font>
      <numFmt numFmtId="165" formatCode="#,##0.00\ [$€-1];[Red]\-#,##0.00\ [$€-1]"/>
      <fill>
        <patternFill patternType="solid">
          <fgColor indexed="64"/>
          <bgColor theme="0"/>
        </patternFill>
      </fill>
      <alignment horizontal="center" vertical="center" textRotation="0" wrapText="0" indent="0" justifyLastLine="0" shrinkToFit="0" readingOrder="0"/>
      <border diagonalUp="0" diagonalDown="0">
        <left style="thin">
          <color auto="1"/>
        </left>
        <right/>
        <top style="thin">
          <color auto="1"/>
        </top>
        <bottom style="thin">
          <color auto="1"/>
        </bottom>
      </border>
    </dxf>
    <dxf>
      <font>
        <b/>
        <i val="0"/>
        <strike val="0"/>
        <condense val="0"/>
        <extend val="0"/>
        <outline val="0"/>
        <shadow val="0"/>
        <u val="none"/>
        <vertAlign val="baseline"/>
        <sz val="10"/>
        <color auto="1"/>
        <name val="Calibri"/>
        <scheme val="minor"/>
      </font>
      <fill>
        <patternFill patternType="solid">
          <fgColor indexed="64"/>
          <bgColor theme="0"/>
        </patternFill>
      </fill>
      <alignment horizontal="center" vertical="center" textRotation="0" wrapText="0" indent="0" justifyLastLine="0" shrinkToFit="0" readingOrder="0"/>
      <border diagonalUp="0" diagonalDown="0" outline="0">
        <left/>
        <right style="thin">
          <color auto="1"/>
        </right>
        <top style="thin">
          <color auto="1"/>
        </top>
        <bottom style="thin">
          <color auto="1"/>
        </bottom>
      </border>
    </dxf>
    <dxf>
      <border outline="0">
        <top style="thin">
          <color auto="1"/>
        </top>
      </border>
    </dxf>
    <dxf>
      <border outline="0">
        <left style="thin">
          <color auto="1"/>
        </left>
        <right style="thin">
          <color auto="1"/>
        </right>
        <top style="thin">
          <color auto="1"/>
        </top>
        <bottom style="thin">
          <color auto="1"/>
        </bottom>
      </border>
    </dxf>
    <dxf>
      <font>
        <b/>
        <strike val="0"/>
        <outline val="0"/>
        <shadow val="0"/>
        <u val="none"/>
        <vertAlign val="baseline"/>
        <sz val="10"/>
        <color auto="1"/>
      </font>
    </dxf>
    <dxf>
      <border outline="0">
        <bottom style="thin">
          <color auto="1"/>
        </bottom>
      </border>
    </dxf>
    <dxf>
      <font>
        <b/>
        <i val="0"/>
        <strike val="0"/>
        <condense val="0"/>
        <extend val="0"/>
        <outline val="0"/>
        <shadow val="0"/>
        <u val="none"/>
        <vertAlign val="baseline"/>
        <sz val="10"/>
        <color auto="1"/>
        <name val="Segoe UI"/>
        <scheme val="none"/>
      </font>
      <fill>
        <patternFill patternType="solid">
          <fgColor indexed="64"/>
          <bgColor theme="5" tint="0.59999389629810485"/>
        </patternFill>
      </fill>
      <alignment horizontal="center" vertical="bottom" textRotation="0" wrapText="0" indent="0" justifyLastLine="0" shrinkToFit="0" readingOrder="0"/>
      <border diagonalUp="0" diagonalDown="0" outline="0">
        <left style="thin">
          <color auto="1"/>
        </left>
        <right style="thin">
          <color auto="1"/>
        </right>
        <top/>
        <bottom/>
      </border>
    </dxf>
  </dxfs>
  <tableStyles count="0" defaultTableStyle="TableStyleMedium2" defaultPivotStyle="PivotStyleLight16"/>
  <colors>
    <mruColors>
      <color rgb="FF00CC99"/>
      <color rgb="FF80C9FF"/>
      <color rgb="FF00528E"/>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openxmlformats.org/officeDocument/2006/relationships/customXml" Target="../customXml/item2.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ustomXml" Target="../customXml/item1.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customXml" Target="../customXml/item4.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 Id="rId14" Type="http://schemas.openxmlformats.org/officeDocument/2006/relationships/customXml" Target="../customXml/item3.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1</xdr:col>
      <xdr:colOff>476250</xdr:colOff>
      <xdr:row>16</xdr:row>
      <xdr:rowOff>95250</xdr:rowOff>
    </xdr:from>
    <xdr:to>
      <xdr:col>6</xdr:col>
      <xdr:colOff>315541</xdr:colOff>
      <xdr:row>20</xdr:row>
      <xdr:rowOff>35361</xdr:rowOff>
    </xdr:to>
    <xdr:pic>
      <xdr:nvPicPr>
        <xdr:cNvPr id="2" name="Picture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085850" y="3562350"/>
          <a:ext cx="2885386" cy="702111"/>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182880</xdr:colOff>
          <xdr:row>1</xdr:row>
          <xdr:rowOff>38100</xdr:rowOff>
        </xdr:from>
        <xdr:to>
          <xdr:col>14</xdr:col>
          <xdr:colOff>342900</xdr:colOff>
          <xdr:row>3</xdr:row>
          <xdr:rowOff>160020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100-000001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fr-FR" sz="1100" b="0" i="0" u="none" strike="noStrike" baseline="0">
                  <a:solidFill>
                    <a:srgbClr val="000000"/>
                  </a:solidFill>
                  <a:latin typeface="Calibri"/>
                  <a:ea typeface="Calibri"/>
                  <a:cs typeface="Calibri"/>
                </a:rPr>
                <a:t>Button 1</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182880</xdr:colOff>
          <xdr:row>1</xdr:row>
          <xdr:rowOff>38100</xdr:rowOff>
        </xdr:from>
        <xdr:to>
          <xdr:col>14</xdr:col>
          <xdr:colOff>342900</xdr:colOff>
          <xdr:row>3</xdr:row>
          <xdr:rowOff>160020</xdr:rowOff>
        </xdr:to>
        <xdr:sp macro="" textlink="">
          <xdr:nvSpPr>
            <xdr:cNvPr id="3073" name="Button 1" hidden="1">
              <a:extLst>
                <a:ext uri="{63B3BB69-23CF-44E3-9099-C40C66FF867C}">
                  <a14:compatExt spid="_x0000_s3073"/>
                </a:ext>
                <a:ext uri="{FF2B5EF4-FFF2-40B4-BE49-F238E27FC236}">
                  <a16:creationId xmlns:a16="http://schemas.microsoft.com/office/drawing/2014/main" id="{00000000-0008-0000-0200-0000010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fr-FR" sz="1100" b="0" i="0" u="none" strike="noStrike" baseline="0">
                  <a:solidFill>
                    <a:srgbClr val="000000"/>
                  </a:solidFill>
                  <a:latin typeface="Calibri"/>
                  <a:ea typeface="Calibri"/>
                  <a:cs typeface="Calibri"/>
                </a:rPr>
                <a:t>Button 1</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editAs="oneCell">
    <xdr:from>
      <xdr:col>1</xdr:col>
      <xdr:colOff>2032197</xdr:colOff>
      <xdr:row>0</xdr:row>
      <xdr:rowOff>79506</xdr:rowOff>
    </xdr:from>
    <xdr:to>
      <xdr:col>2</xdr:col>
      <xdr:colOff>1158366</xdr:colOff>
      <xdr:row>0</xdr:row>
      <xdr:rowOff>592269</xdr:rowOff>
    </xdr:to>
    <xdr:pic>
      <xdr:nvPicPr>
        <xdr:cNvPr id="3" name="Picture 2">
          <a:extLst>
            <a:ext uri="{FF2B5EF4-FFF2-40B4-BE49-F238E27FC236}">
              <a16:creationId xmlns:a16="http://schemas.microsoft.com/office/drawing/2014/main" id="{00000000-0008-0000-0300-000003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2127447" y="79506"/>
          <a:ext cx="2181565" cy="508953"/>
        </a:xfrm>
        <a:prstGeom prst="rect">
          <a:avLst/>
        </a:prstGeom>
      </xdr:spPr>
    </xdr:pic>
    <xdr:clientData/>
  </xdr:twoCellAnchor>
  <xdr:twoCellAnchor editAs="oneCell">
    <xdr:from>
      <xdr:col>0</xdr:col>
      <xdr:colOff>93457</xdr:colOff>
      <xdr:row>36</xdr:row>
      <xdr:rowOff>7508</xdr:rowOff>
    </xdr:from>
    <xdr:to>
      <xdr:col>5</xdr:col>
      <xdr:colOff>20056</xdr:colOff>
      <xdr:row>44</xdr:row>
      <xdr:rowOff>35634</xdr:rowOff>
    </xdr:to>
    <xdr:pic>
      <xdr:nvPicPr>
        <xdr:cNvPr id="4" name="Image 3">
          <a:extLst>
            <a:ext uri="{FF2B5EF4-FFF2-40B4-BE49-F238E27FC236}">
              <a16:creationId xmlns:a16="http://schemas.microsoft.com/office/drawing/2014/main" id="{7851BD91-CE94-6F1A-CD02-E407143A7D4D}"/>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93457" y="10232876"/>
          <a:ext cx="6698538" cy="146606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1000000}" name="TabMutuelle" displayName="TabMutuelle" ref="K31:L33" totalsRowShown="0" headerRowDxfId="19" dataDxfId="17" headerRowBorderDxfId="18" tableBorderDxfId="16" totalsRowBorderDxfId="15">
  <autoFilter ref="K31:L33" xr:uid="{00000000-0009-0000-0100-000003000000}">
    <filterColumn colId="0" hiddenButton="1"/>
    <filterColumn colId="1" hiddenButton="1"/>
  </autoFilter>
  <tableColumns count="2">
    <tableColumn id="1" xr3:uid="{00000000-0010-0000-0100-000001000000}" name="Mutuelle" dataDxfId="14"/>
    <tableColumn id="2" xr3:uid="{00000000-0010-0000-0100-000002000000}" name="part sal" dataDxfId="13">
      <calculatedColumnFormula>M24</calculatedColumnFormula>
    </tableColumn>
  </tableColumns>
  <tableStyleInfo name="TableStyleLight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69B9F22B-459E-4FF0-8E00-A9A2FA417BC3}" name="Tabmutuelle_AXA" displayName="Tabmutuelle_AXA" ref="I22:N28" headerRowCount="0" totalsRowShown="0" headerRowDxfId="12" tableBorderDxfId="11">
  <tableColumns count="6">
    <tableColumn id="1" xr3:uid="{7300FEE3-3E1A-4455-9D63-430AD33ECC81}" name="Colonne1" dataDxfId="10"/>
    <tableColumn id="4" xr3:uid="{182C38EE-9216-4340-9796-C5EC9A1A4635}" name="Colonne4" headerRowDxfId="9" dataDxfId="8"/>
    <tableColumn id="5" xr3:uid="{B36999D8-BCF5-41CD-BB1E-CFBFAAEF662C}" name="Colonne5" headerRowDxfId="7" dataDxfId="6"/>
    <tableColumn id="6" xr3:uid="{5B69CCFF-4B35-40EE-8623-9BE764110772}" name="Colonne6" headerRowDxfId="5" dataDxfId="4"/>
    <tableColumn id="7" xr3:uid="{19F9980C-506F-4BF6-AD68-AE827126CE8F}" name="Colonne7" headerRowDxfId="3" dataDxfId="2"/>
    <tableColumn id="8" xr3:uid="{33568481-BA54-42FF-8AF0-FE0B81391315}" name="Colonne8" headerRowDxfId="1" dataDxfId="0">
      <calculatedColumnFormula>M22+K22</calculatedColumnFormula>
    </tableColumn>
  </tableColumns>
  <tableStyleInfo name="TableStyleLight1" showFirstColumn="0" showLastColumn="0" showRowStripes="1" showColumnStripes="0"/>
</table>
</file>

<file path=xl/theme/theme1.xml><?xml version="1.0" encoding="utf-8"?>
<a:theme xmlns:a="http://schemas.openxmlformats.org/drawingml/2006/main" name="Thèm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customProperty" Target="../customProperty1.bin"/></Relationships>
</file>

<file path=xl/worksheets/_rels/sheet2.xml.rels><?xml version="1.0" encoding="UTF-8" standalone="yes"?>
<Relationships xmlns="http://schemas.openxmlformats.org/package/2006/relationships"><Relationship Id="rId3" Type="http://schemas.openxmlformats.org/officeDocument/2006/relationships/customProperty" Target="../customProperty2.bin"/><Relationship Id="rId7" Type="http://schemas.openxmlformats.org/officeDocument/2006/relationships/comments" Target="../comments1.xml"/><Relationship Id="rId2" Type="http://schemas.openxmlformats.org/officeDocument/2006/relationships/printerSettings" Target="../printerSettings/printerSettings1.bin"/><Relationship Id="rId1" Type="http://schemas.openxmlformats.org/officeDocument/2006/relationships/hyperlink" Target="https://www.urssaf.fr/portail/home/taux-et-baremes/versement-mobilite.html" TargetMode="External"/><Relationship Id="rId6" Type="http://schemas.openxmlformats.org/officeDocument/2006/relationships/ctrlProp" Target="../ctrlProps/ctrlProp1.xml"/><Relationship Id="rId5" Type="http://schemas.openxmlformats.org/officeDocument/2006/relationships/vmlDrawing" Target="../drawings/vmlDrawing1.vml"/><Relationship Id="rId4"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customProperty" Target="../customProperty3.bin"/><Relationship Id="rId1" Type="http://schemas.openxmlformats.org/officeDocument/2006/relationships/printerSettings" Target="../printerSettings/printerSettings2.bin"/><Relationship Id="rId5" Type="http://schemas.openxmlformats.org/officeDocument/2006/relationships/ctrlProp" Target="../ctrlProps/ctrlProp2.xml"/><Relationship Id="rId4" Type="http://schemas.openxmlformats.org/officeDocument/2006/relationships/vmlDrawing" Target="../drawings/vmlDrawing2.vml"/></Relationships>
</file>

<file path=xl/worksheets/_rels/sheet4.xml.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customProperty" Target="../customProperty4.bin"/><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customProperty" Target="../customProperty5.bin"/><Relationship Id="rId1" Type="http://schemas.openxmlformats.org/officeDocument/2006/relationships/printerSettings" Target="../printerSettings/printerSettings4.bin"/><Relationship Id="rId4" Type="http://schemas.openxmlformats.org/officeDocument/2006/relationships/table" Target="../tables/table2.xml"/></Relationships>
</file>

<file path=xl/worksheets/_rels/sheet7.xml.rels><?xml version="1.0" encoding="UTF-8" standalone="yes"?>
<Relationships xmlns="http://schemas.openxmlformats.org/package/2006/relationships"><Relationship Id="rId1" Type="http://schemas.openxmlformats.org/officeDocument/2006/relationships/customProperty" Target="../customProperty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Feuil1">
    <tabColor rgb="FFFF0000"/>
  </sheetPr>
  <dimension ref="B2:U33"/>
  <sheetViews>
    <sheetView showGridLines="0" zoomScale="85" zoomScaleNormal="85" workbookViewId="0">
      <selection activeCell="L7" sqref="L7"/>
    </sheetView>
  </sheetViews>
  <sheetFormatPr baseColWidth="10" defaultColWidth="8.5546875" defaultRowHeight="14.4" x14ac:dyDescent="0.3"/>
  <sheetData>
    <row r="2" spans="2:9" ht="15" thickBot="1" x14ac:dyDescent="0.35"/>
    <row r="3" spans="2:9" ht="31.8" thickBot="1" x14ac:dyDescent="0.65">
      <c r="B3" s="50" t="s">
        <v>0</v>
      </c>
      <c r="C3" s="51"/>
      <c r="D3" s="51"/>
      <c r="E3" s="51"/>
      <c r="F3" s="51"/>
      <c r="G3" s="53"/>
      <c r="H3" s="51"/>
      <c r="I3" s="52"/>
    </row>
    <row r="5" spans="2:9" x14ac:dyDescent="0.3">
      <c r="B5" s="1" t="s">
        <v>1</v>
      </c>
    </row>
    <row r="7" spans="2:9" x14ac:dyDescent="0.3">
      <c r="B7" s="1" t="s">
        <v>2</v>
      </c>
    </row>
    <row r="8" spans="2:9" x14ac:dyDescent="0.3">
      <c r="B8" s="1" t="s">
        <v>3</v>
      </c>
    </row>
    <row r="9" spans="2:9" x14ac:dyDescent="0.3">
      <c r="B9" s="1" t="s">
        <v>4</v>
      </c>
      <c r="F9" s="54" t="s">
        <v>5</v>
      </c>
    </row>
    <row r="10" spans="2:9" x14ac:dyDescent="0.3">
      <c r="B10" s="1" t="s">
        <v>6</v>
      </c>
    </row>
    <row r="11" spans="2:9" x14ac:dyDescent="0.3">
      <c r="B11" s="1" t="s">
        <v>7</v>
      </c>
    </row>
    <row r="12" spans="2:9" x14ac:dyDescent="0.3">
      <c r="B12" s="1" t="s">
        <v>8</v>
      </c>
    </row>
    <row r="14" spans="2:9" x14ac:dyDescent="0.3">
      <c r="B14" s="1" t="s">
        <v>9</v>
      </c>
    </row>
    <row r="33" spans="21:21" x14ac:dyDescent="0.3">
      <c r="U33" t="s">
        <v>10</v>
      </c>
    </row>
  </sheetData>
  <pageMargins left="0.7" right="0.7" top="0.75" bottom="0.75" header="0.3" footer="0.3"/>
  <customProperties>
    <customPr name="OrphanNamesChecked" r:id="rId1"/>
  </customProperties>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tabColor rgb="FF80C9FF"/>
  </sheetPr>
  <dimension ref="A2:U31"/>
  <sheetViews>
    <sheetView showGridLines="0" zoomScale="170" zoomScaleNormal="170" workbookViewId="0">
      <selection activeCell="C22" sqref="C22"/>
    </sheetView>
  </sheetViews>
  <sheetFormatPr baseColWidth="10" defaultColWidth="8.5546875" defaultRowHeight="14.4" x14ac:dyDescent="0.3"/>
  <cols>
    <col min="1" max="1" width="18.109375" bestFit="1" customWidth="1"/>
    <col min="2" max="2" width="13.88671875" bestFit="1" customWidth="1"/>
    <col min="3" max="3" width="9.5546875" bestFit="1" customWidth="1"/>
    <col min="4" max="5" width="0" hidden="1" customWidth="1"/>
    <col min="6" max="6" width="8.5546875" hidden="1" customWidth="1"/>
    <col min="8" max="8" width="24.5546875" bestFit="1" customWidth="1"/>
    <col min="10" max="10" width="17" bestFit="1" customWidth="1"/>
    <col min="11" max="11" width="9.44140625" bestFit="1" customWidth="1"/>
    <col min="13" max="13" width="10.5546875" bestFit="1" customWidth="1"/>
  </cols>
  <sheetData>
    <row r="2" spans="1:21" x14ac:dyDescent="0.3">
      <c r="U2" s="26">
        <v>21.67</v>
      </c>
    </row>
    <row r="3" spans="1:21" ht="15" thickBot="1" x14ac:dyDescent="0.35"/>
    <row r="4" spans="1:21" ht="15" thickBot="1" x14ac:dyDescent="0.35">
      <c r="A4" s="27" t="s">
        <v>11</v>
      </c>
      <c r="B4" s="32">
        <v>65438.448868972708</v>
      </c>
      <c r="C4" s="31" t="s">
        <v>12</v>
      </c>
      <c r="H4" s="27" t="s">
        <v>13</v>
      </c>
      <c r="J4" s="34">
        <v>500</v>
      </c>
      <c r="K4" s="124" t="str">
        <f>IF(AND(J10=10%,J4&lt;250)," Erreur TJM","")</f>
        <v/>
      </c>
    </row>
    <row r="5" spans="1:21" ht="15" thickBot="1" x14ac:dyDescent="0.35">
      <c r="A5" s="27" t="s">
        <v>11</v>
      </c>
      <c r="B5" s="32">
        <f>B4/12</f>
        <v>5453.2040724143926</v>
      </c>
      <c r="C5" s="31" t="s">
        <v>14</v>
      </c>
      <c r="F5" s="25"/>
      <c r="H5" s="27" t="s">
        <v>15</v>
      </c>
      <c r="J5" s="34">
        <v>18</v>
      </c>
    </row>
    <row r="6" spans="1:21" ht="15" thickBot="1" x14ac:dyDescent="0.35">
      <c r="A6" s="27" t="s">
        <v>16</v>
      </c>
      <c r="B6" s="32">
        <f>'BS . Avec prov'!E43</f>
        <v>1249.3189811018394</v>
      </c>
      <c r="H6" s="27" t="s">
        <v>17</v>
      </c>
      <c r="J6" s="30">
        <f>J4*J5</f>
        <v>9000</v>
      </c>
      <c r="K6" s="31" t="s">
        <v>14</v>
      </c>
      <c r="M6" s="29">
        <f>J6*12</f>
        <v>108000</v>
      </c>
      <c r="N6" s="31" t="s">
        <v>12</v>
      </c>
    </row>
    <row r="7" spans="1:21" ht="15" thickBot="1" x14ac:dyDescent="0.35">
      <c r="A7" s="27" t="s">
        <v>18</v>
      </c>
      <c r="B7" s="32" t="e">
        <f>'BS . Avec prov'!G43</f>
        <v>#REF!</v>
      </c>
      <c r="H7" s="27" t="s">
        <v>19</v>
      </c>
      <c r="J7" s="122">
        <v>0.06</v>
      </c>
      <c r="M7" s="29">
        <f>J6*J7</f>
        <v>540</v>
      </c>
      <c r="N7" s="31" t="s">
        <v>20</v>
      </c>
    </row>
    <row r="8" spans="1:21" ht="15" thickBot="1" x14ac:dyDescent="0.35">
      <c r="H8" s="27" t="s">
        <v>21</v>
      </c>
      <c r="J8" s="55">
        <v>0.02</v>
      </c>
      <c r="M8" s="29">
        <f>J8*J6</f>
        <v>180</v>
      </c>
      <c r="N8" s="31" t="s">
        <v>20</v>
      </c>
    </row>
    <row r="9" spans="1:21" ht="15" thickBot="1" x14ac:dyDescent="0.35">
      <c r="A9" s="27" t="s">
        <v>22</v>
      </c>
      <c r="B9" s="33">
        <f>'BS . Avec prov'!E47</f>
        <v>4104.8850913125525</v>
      </c>
      <c r="H9" s="27" t="s">
        <v>23</v>
      </c>
      <c r="J9" s="157">
        <v>0</v>
      </c>
      <c r="M9" s="29">
        <f>($J$6-$M$7-$M$8-$J$11-$M$12-$M$13)*$J$9/(1+$J$9)</f>
        <v>0</v>
      </c>
      <c r="N9" s="31" t="s">
        <v>20</v>
      </c>
      <c r="O9" s="98"/>
    </row>
    <row r="10" spans="1:21" ht="15" thickBot="1" x14ac:dyDescent="0.35">
      <c r="A10" s="27" t="s">
        <v>24</v>
      </c>
      <c r="B10" s="33" t="e">
        <f>B5+B7+M7+J11+M8+M9+M10+M12+M13+M23</f>
        <v>#REF!</v>
      </c>
      <c r="C10" s="31" t="s">
        <v>14</v>
      </c>
      <c r="H10" s="27" t="s">
        <v>25</v>
      </c>
      <c r="J10" s="28">
        <v>0</v>
      </c>
      <c r="M10" s="29">
        <f>IF(J10=0,0,('BS . Avec prov'!E6+'BS . Avec prov'!E7+'BS . Avec prov'!E8)*0.11*(1+'BS . Avec prov'!C57))</f>
        <v>0</v>
      </c>
      <c r="N10" s="31" t="s">
        <v>20</v>
      </c>
    </row>
    <row r="11" spans="1:21" ht="15" thickBot="1" x14ac:dyDescent="0.35">
      <c r="B11" s="29" t="e">
        <f>B10*12</f>
        <v>#REF!</v>
      </c>
      <c r="C11" s="31" t="s">
        <v>12</v>
      </c>
      <c r="H11" s="27" t="s">
        <v>26</v>
      </c>
      <c r="J11" s="29">
        <v>198</v>
      </c>
    </row>
    <row r="12" spans="1:21" ht="15" thickBot="1" x14ac:dyDescent="0.35">
      <c r="B12" s="29" t="e">
        <f>B10/J5</f>
        <v>#REF!</v>
      </c>
      <c r="C12" s="31" t="s">
        <v>27</v>
      </c>
      <c r="H12" s="27" t="s">
        <v>28</v>
      </c>
      <c r="J12" s="38">
        <v>0</v>
      </c>
      <c r="M12" s="29">
        <f>J12</f>
        <v>0</v>
      </c>
      <c r="N12" s="31" t="s">
        <v>20</v>
      </c>
      <c r="O12" s="87"/>
    </row>
    <row r="13" spans="1:21" ht="15" thickBot="1" x14ac:dyDescent="0.35">
      <c r="H13" s="27" t="s">
        <v>29</v>
      </c>
      <c r="J13" s="91">
        <f>J21/2</f>
        <v>99</v>
      </c>
      <c r="M13" s="29">
        <f>J13</f>
        <v>99</v>
      </c>
      <c r="N13" s="31" t="s">
        <v>20</v>
      </c>
    </row>
    <row r="14" spans="1:21" ht="15" thickBot="1" x14ac:dyDescent="0.35">
      <c r="F14" s="35"/>
      <c r="H14" s="27" t="s">
        <v>30</v>
      </c>
      <c r="J14" s="29">
        <f>J6-M7-M8-M9-M10-J11-M12-M13-M23</f>
        <v>7983</v>
      </c>
      <c r="K14" s="101"/>
    </row>
    <row r="15" spans="1:21" ht="15" thickBot="1" x14ac:dyDescent="0.35">
      <c r="A15" s="178"/>
      <c r="B15" s="178"/>
      <c r="F15" s="35"/>
      <c r="H15" s="27" t="s">
        <v>31</v>
      </c>
      <c r="J15" s="29">
        <f>J14+J11+M7+M12+M8+M9+M13+M10+M23</f>
        <v>9000</v>
      </c>
    </row>
    <row r="16" spans="1:21" ht="15" thickBot="1" x14ac:dyDescent="0.35">
      <c r="A16" s="181" t="s">
        <v>183</v>
      </c>
      <c r="B16" s="179">
        <v>45689</v>
      </c>
      <c r="F16" s="35"/>
    </row>
    <row r="17" spans="1:21" ht="15" thickBot="1" x14ac:dyDescent="0.35">
      <c r="A17" s="181" t="s">
        <v>184</v>
      </c>
      <c r="B17" s="180" t="s">
        <v>185</v>
      </c>
      <c r="H17" s="27" t="s">
        <v>32</v>
      </c>
      <c r="J17" s="117" t="s">
        <v>33</v>
      </c>
      <c r="M17" s="29">
        <f>VLOOKUP(J17,TabMutuelle[],2,FALSE)</f>
        <v>30.4</v>
      </c>
      <c r="N17" s="31" t="s">
        <v>20</v>
      </c>
    </row>
    <row r="18" spans="1:21" ht="15" thickBot="1" x14ac:dyDescent="0.35">
      <c r="F18" s="35"/>
    </row>
    <row r="19" spans="1:21" ht="15" thickBot="1" x14ac:dyDescent="0.35">
      <c r="H19" s="27" t="s">
        <v>34</v>
      </c>
      <c r="J19" s="39">
        <v>0.1</v>
      </c>
      <c r="K19" s="35">
        <f>'BS . Avec prov'!E44*'1. Calcul Avec prov'!J19</f>
        <v>436.15392278509802</v>
      </c>
    </row>
    <row r="20" spans="1:21" ht="15" thickBot="1" x14ac:dyDescent="0.35"/>
    <row r="21" spans="1:21" ht="15" thickBot="1" x14ac:dyDescent="0.35">
      <c r="H21" s="27" t="s">
        <v>35</v>
      </c>
      <c r="J21" s="92">
        <f>11*J5</f>
        <v>198</v>
      </c>
    </row>
    <row r="22" spans="1:21" ht="15" thickBot="1" x14ac:dyDescent="0.35">
      <c r="M22" s="1"/>
      <c r="O22" s="85"/>
    </row>
    <row r="23" spans="1:21" ht="15" thickBot="1" x14ac:dyDescent="0.35">
      <c r="H23" s="27" t="s">
        <v>36</v>
      </c>
      <c r="J23" s="105" t="s">
        <v>33</v>
      </c>
      <c r="N23" s="31"/>
      <c r="O23" s="85"/>
    </row>
    <row r="24" spans="1:21" ht="15" thickBot="1" x14ac:dyDescent="0.35">
      <c r="B24" s="1"/>
      <c r="M24" s="31" t="s">
        <v>37</v>
      </c>
      <c r="N24" s="85"/>
    </row>
    <row r="25" spans="1:21" ht="15" thickBot="1" x14ac:dyDescent="0.35">
      <c r="H25" s="27" t="s">
        <v>38</v>
      </c>
      <c r="J25" s="156">
        <v>75101</v>
      </c>
      <c r="M25" s="87" t="e">
        <f>VLOOKUP(J25,#REF!,2,FALSE)</f>
        <v>#REF!</v>
      </c>
    </row>
    <row r="26" spans="1:21" x14ac:dyDescent="0.3">
      <c r="J26" s="152"/>
      <c r="M26" s="87" t="e">
        <f>VLOOKUP(J25,#REF!,3,FALSE)</f>
        <v>#REF!</v>
      </c>
    </row>
    <row r="27" spans="1:21" x14ac:dyDescent="0.3">
      <c r="J27" s="152"/>
      <c r="M27" t="e">
        <f>VLOOKUP(J25,#REF!,8,FALSE)</f>
        <v>#REF!</v>
      </c>
      <c r="N27" s="155" t="s">
        <v>39</v>
      </c>
      <c r="O27" s="86"/>
    </row>
    <row r="28" spans="1:21" x14ac:dyDescent="0.3">
      <c r="J28" s="153" t="s">
        <v>40</v>
      </c>
      <c r="K28" s="153"/>
      <c r="L28" s="153"/>
      <c r="M28" s="153"/>
      <c r="N28" s="153"/>
      <c r="O28" s="153"/>
    </row>
    <row r="29" spans="1:21" x14ac:dyDescent="0.3">
      <c r="J29" s="154" t="s">
        <v>41</v>
      </c>
    </row>
    <row r="31" spans="1:21" x14ac:dyDescent="0.3">
      <c r="U31" t="s">
        <v>10</v>
      </c>
    </row>
  </sheetData>
  <dataValidations count="4">
    <dataValidation type="decimal" errorStyle="warning" allowBlank="1" showInputMessage="1" showErrorMessage="1" errorTitle="TJM trop faible" error="Le TJM ne doit pas être inférieur à 290 € pour un cadre en forfait jour" sqref="J4" xr:uid="{00000000-0002-0000-0100-000000000000}">
      <formula1>290</formula1>
      <formula2>3000</formula2>
    </dataValidation>
    <dataValidation type="list" allowBlank="1" showInputMessage="1" showErrorMessage="1" sqref="J23" xr:uid="{00000000-0002-0000-0100-000001000000}">
      <formula1>"Oui,Non"</formula1>
    </dataValidation>
    <dataValidation operator="lessThan" allowBlank="1" showInputMessage="1" error="le TJM d'un CDD ne peut être inférieur à 250 €" prompt="le TJM d'un CDD ne peut être inférieur à 250 €" sqref="J10" xr:uid="{AA572F77-EE88-469D-B8FF-EEBBB96C2F8C}"/>
    <dataValidation type="list" allowBlank="1" showInputMessage="1" showErrorMessage="1" sqref="B17" xr:uid="{0C72955D-D4F6-41D4-A8F0-00B358C9DB19}">
      <formula1>"CDI CADRE,CDI NON-CADRE,CDD"</formula1>
    </dataValidation>
  </dataValidations>
  <hyperlinks>
    <hyperlink ref="J29" r:id="rId1" xr:uid="{36D5D1C4-CC02-42EF-85E2-3A063B5DA5DA}"/>
  </hyperlinks>
  <pageMargins left="0.7" right="0.7" top="0.75" bottom="0.75" header="0.3" footer="0.3"/>
  <pageSetup paperSize="9" orientation="portrait" r:id="rId2"/>
  <customProperties>
    <customPr name="OrphanNamesChecked" r:id="rId3"/>
  </customProperties>
  <drawing r:id="rId4"/>
  <legacyDrawing r:id="rId5"/>
  <mc:AlternateContent xmlns:mc="http://schemas.openxmlformats.org/markup-compatibility/2006">
    <mc:Choice Requires="x14">
      <controls>
        <mc:AlternateContent xmlns:mc="http://schemas.openxmlformats.org/markup-compatibility/2006">
          <mc:Choice Requires="x14">
            <control shapeId="1025" r:id="rId6" name="Button 1">
              <controlPr defaultSize="0" print="0" autoFill="0" autoPict="0" macro="[0]!TJM">
                <anchor moveWithCells="1" sizeWithCells="1">
                  <from>
                    <xdr:col>12</xdr:col>
                    <xdr:colOff>182880</xdr:colOff>
                    <xdr:row>1</xdr:row>
                    <xdr:rowOff>38100</xdr:rowOff>
                  </from>
                  <to>
                    <xdr:col>14</xdr:col>
                    <xdr:colOff>342900</xdr:colOff>
                    <xdr:row>3</xdr:row>
                    <xdr:rowOff>160020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100-000002000000}">
          <x14:formula1>
            <xm:f>'BS . Avec prov'!$K$32:$K$33</xm:f>
          </x14:formula1>
          <xm:sqref>J17</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tabColor rgb="FF80C9FF"/>
  </sheetPr>
  <dimension ref="A2:U34"/>
  <sheetViews>
    <sheetView showGridLines="0" zoomScale="180" zoomScaleNormal="180" workbookViewId="0">
      <selection activeCell="G27" sqref="G27"/>
    </sheetView>
  </sheetViews>
  <sheetFormatPr baseColWidth="10" defaultColWidth="8.5546875" defaultRowHeight="14.4" x14ac:dyDescent="0.3"/>
  <cols>
    <col min="1" max="1" width="18.109375" bestFit="1" customWidth="1"/>
    <col min="2" max="2" width="13.88671875" bestFit="1" customWidth="1"/>
    <col min="3" max="3" width="9.5546875" bestFit="1" customWidth="1"/>
    <col min="4" max="5" width="0" hidden="1" customWidth="1"/>
    <col min="6" max="6" width="8.5546875" hidden="1" customWidth="1"/>
    <col min="8" max="8" width="24.5546875" bestFit="1" customWidth="1"/>
    <col min="10" max="10" width="17" customWidth="1"/>
    <col min="13" max="13" width="10.5546875" bestFit="1" customWidth="1"/>
  </cols>
  <sheetData>
    <row r="2" spans="1:21" x14ac:dyDescent="0.3">
      <c r="U2" s="26">
        <v>21.67</v>
      </c>
    </row>
    <row r="3" spans="1:21" ht="15" thickBot="1" x14ac:dyDescent="0.35"/>
    <row r="4" spans="1:21" ht="15" thickBot="1" x14ac:dyDescent="0.35">
      <c r="A4" s="27" t="s">
        <v>11</v>
      </c>
      <c r="B4" s="32">
        <v>66925.736689462559</v>
      </c>
      <c r="C4" s="31" t="s">
        <v>12</v>
      </c>
      <c r="H4" s="27" t="s">
        <v>13</v>
      </c>
      <c r="J4" s="30">
        <f>'1. Calcul Avec prov'!J4</f>
        <v>500</v>
      </c>
    </row>
    <row r="5" spans="1:21" ht="15" thickBot="1" x14ac:dyDescent="0.35">
      <c r="A5" s="27" t="s">
        <v>11</v>
      </c>
      <c r="B5" s="32">
        <f>B4/12</f>
        <v>5577.1447241218802</v>
      </c>
      <c r="C5" s="31" t="s">
        <v>14</v>
      </c>
      <c r="F5" s="25"/>
      <c r="H5" s="27" t="s">
        <v>15</v>
      </c>
      <c r="J5" s="30">
        <f>'1. Calcul Avec prov'!J5</f>
        <v>18</v>
      </c>
    </row>
    <row r="6" spans="1:21" ht="15" thickBot="1" x14ac:dyDescent="0.35">
      <c r="A6" s="27" t="s">
        <v>16</v>
      </c>
      <c r="B6" s="32">
        <f>'BS . Sans prov'!E43</f>
        <v>1274.8125444506602</v>
      </c>
      <c r="H6" s="27" t="s">
        <v>17</v>
      </c>
      <c r="J6" s="30">
        <f>J4*J5</f>
        <v>9000</v>
      </c>
      <c r="K6" s="31" t="s">
        <v>14</v>
      </c>
      <c r="M6" s="29">
        <f>J6*12</f>
        <v>108000</v>
      </c>
      <c r="N6" s="31" t="s">
        <v>12</v>
      </c>
    </row>
    <row r="7" spans="1:21" ht="15" thickBot="1" x14ac:dyDescent="0.35">
      <c r="A7" s="27" t="s">
        <v>18</v>
      </c>
      <c r="B7" s="32" t="e">
        <f>'BS . Sans prov'!G43</f>
        <v>#REF!</v>
      </c>
      <c r="H7" s="27" t="s">
        <v>19</v>
      </c>
      <c r="J7" s="123">
        <f>'1. Calcul Avec prov'!J7</f>
        <v>0.06</v>
      </c>
      <c r="M7" s="29">
        <f>J6*J7</f>
        <v>540</v>
      </c>
      <c r="N7" s="31" t="s">
        <v>20</v>
      </c>
    </row>
    <row r="8" spans="1:21" ht="15" thickBot="1" x14ac:dyDescent="0.35">
      <c r="H8" s="27" t="s">
        <v>21</v>
      </c>
      <c r="J8" s="123">
        <v>0</v>
      </c>
      <c r="M8" s="29">
        <f>J8*J6</f>
        <v>0</v>
      </c>
      <c r="N8" s="31" t="s">
        <v>20</v>
      </c>
    </row>
    <row r="9" spans="1:21" ht="15" thickBot="1" x14ac:dyDescent="0.35">
      <c r="A9" s="27" t="s">
        <v>22</v>
      </c>
      <c r="B9" s="33">
        <f>'BS . Sans prov'!E45</f>
        <v>4203.332179671218</v>
      </c>
      <c r="H9" s="27" t="s">
        <v>23</v>
      </c>
      <c r="J9" s="28">
        <v>0</v>
      </c>
      <c r="M9" s="29">
        <f>J6*J9</f>
        <v>0</v>
      </c>
      <c r="N9" s="31" t="s">
        <v>20</v>
      </c>
    </row>
    <row r="10" spans="1:21" ht="15" thickBot="1" x14ac:dyDescent="0.35">
      <c r="A10" s="27" t="s">
        <v>24</v>
      </c>
      <c r="B10" s="33" t="e">
        <f>B5+B7+M7+J10+M8+M11+M9+M12+M22</f>
        <v>#REF!</v>
      </c>
      <c r="C10" s="31" t="s">
        <v>14</v>
      </c>
      <c r="H10" s="27" t="s">
        <v>26</v>
      </c>
      <c r="J10" s="30">
        <v>198</v>
      </c>
    </row>
    <row r="11" spans="1:21" ht="15" thickBot="1" x14ac:dyDescent="0.35">
      <c r="B11" s="29" t="e">
        <f>B10*12</f>
        <v>#REF!</v>
      </c>
      <c r="C11" s="31" t="s">
        <v>12</v>
      </c>
      <c r="H11" s="27" t="s">
        <v>28</v>
      </c>
      <c r="J11" s="91">
        <f>'1. Calcul Avec prov'!J12</f>
        <v>0</v>
      </c>
      <c r="M11" s="29">
        <f>J11</f>
        <v>0</v>
      </c>
      <c r="N11" s="31" t="s">
        <v>20</v>
      </c>
    </row>
    <row r="12" spans="1:21" ht="15" thickBot="1" x14ac:dyDescent="0.35">
      <c r="B12" s="29" t="e">
        <f>B10/J5</f>
        <v>#REF!</v>
      </c>
      <c r="C12" s="31" t="s">
        <v>27</v>
      </c>
      <c r="H12" s="27" t="s">
        <v>29</v>
      </c>
      <c r="J12" s="91">
        <f>J20/2</f>
        <v>99</v>
      </c>
      <c r="M12" s="29">
        <f>J12</f>
        <v>99</v>
      </c>
      <c r="N12" s="31" t="s">
        <v>20</v>
      </c>
    </row>
    <row r="13" spans="1:21" ht="15" thickBot="1" x14ac:dyDescent="0.35">
      <c r="H13" s="27" t="s">
        <v>30</v>
      </c>
      <c r="J13" s="29">
        <f>J6-M7-M8-J10-M11-M9-M12-M22</f>
        <v>8163</v>
      </c>
    </row>
    <row r="14" spans="1:21" ht="15" thickBot="1" x14ac:dyDescent="0.35">
      <c r="F14" s="35"/>
      <c r="H14" s="27" t="s">
        <v>31</v>
      </c>
      <c r="J14" s="29">
        <f>J13+J10+M7+M11+M8+M9+M12+M22</f>
        <v>9000</v>
      </c>
    </row>
    <row r="15" spans="1:21" ht="15" thickBot="1" x14ac:dyDescent="0.35">
      <c r="F15" s="35"/>
    </row>
    <row r="16" spans="1:21" ht="15" thickBot="1" x14ac:dyDescent="0.35">
      <c r="F16" s="35"/>
      <c r="H16" s="27" t="s">
        <v>32</v>
      </c>
      <c r="J16" s="118" t="str">
        <f>'1. Calcul Avec prov'!J17</f>
        <v>Oui</v>
      </c>
      <c r="M16" s="29">
        <f>VLOOKUP(J16,TabMutuelle[],2,FALSE)</f>
        <v>30.4</v>
      </c>
      <c r="N16" s="31" t="s">
        <v>20</v>
      </c>
    </row>
    <row r="17" spans="6:14" ht="15" thickBot="1" x14ac:dyDescent="0.35"/>
    <row r="18" spans="6:14" ht="15" thickBot="1" x14ac:dyDescent="0.35">
      <c r="F18" s="35"/>
      <c r="H18" s="27" t="s">
        <v>34</v>
      </c>
      <c r="J18" s="28">
        <f>'1. Calcul Avec prov'!J19</f>
        <v>0.1</v>
      </c>
      <c r="K18" s="35">
        <f>'BS . Sans prov'!E45*'2. Calcul Sans prov'!J18</f>
        <v>420.33321796712181</v>
      </c>
    </row>
    <row r="19" spans="6:14" ht="15" thickBot="1" x14ac:dyDescent="0.35"/>
    <row r="20" spans="6:14" ht="15" thickBot="1" x14ac:dyDescent="0.35">
      <c r="H20" s="27" t="s">
        <v>35</v>
      </c>
      <c r="J20" s="29">
        <f>'1. Calcul Avec prov'!J21</f>
        <v>198</v>
      </c>
    </row>
    <row r="21" spans="6:14" ht="15" thickBot="1" x14ac:dyDescent="0.35"/>
    <row r="22" spans="6:14" ht="15" thickBot="1" x14ac:dyDescent="0.35">
      <c r="H22" s="27" t="s">
        <v>36</v>
      </c>
      <c r="J22" s="106" t="str">
        <f>'1. Calcul Avec prov'!J23</f>
        <v>Oui</v>
      </c>
      <c r="N22" s="31"/>
    </row>
    <row r="34" spans="21:21" x14ac:dyDescent="0.3">
      <c r="U34" t="s">
        <v>10</v>
      </c>
    </row>
  </sheetData>
  <pageMargins left="0.7" right="0.7" top="0.75" bottom="0.75" header="0.3" footer="0.3"/>
  <pageSetup paperSize="9" orientation="portrait" r:id="rId1"/>
  <customProperties>
    <customPr name="OrphanNamesChecked" r:id="rId2"/>
  </customProperties>
  <drawing r:id="rId3"/>
  <legacyDrawing r:id="rId4"/>
  <mc:AlternateContent xmlns:mc="http://schemas.openxmlformats.org/markup-compatibility/2006">
    <mc:Choice Requires="x14">
      <controls>
        <mc:AlternateContent xmlns:mc="http://schemas.openxmlformats.org/markup-compatibility/2006">
          <mc:Choice Requires="x14">
            <control shapeId="3073" r:id="rId5" name="Button 1">
              <controlPr defaultSize="0" print="0" autoFill="0" autoPict="0" macro="[0]!TJM">
                <anchor moveWithCells="1" sizeWithCells="1">
                  <from>
                    <xdr:col>12</xdr:col>
                    <xdr:colOff>182880</xdr:colOff>
                    <xdr:row>1</xdr:row>
                    <xdr:rowOff>38100</xdr:rowOff>
                  </from>
                  <to>
                    <xdr:col>14</xdr:col>
                    <xdr:colOff>342900</xdr:colOff>
                    <xdr:row>3</xdr:row>
                    <xdr:rowOff>160020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200-000000000000}">
          <x14:formula1>
            <xm:f>'BS . Avec prov'!$K$32:$K$33</xm:f>
          </x14:formula1>
          <xm:sqref>J16</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Feuil2">
    <tabColor theme="7"/>
    <pageSetUpPr fitToPage="1"/>
  </sheetPr>
  <dimension ref="A1:BK39"/>
  <sheetViews>
    <sheetView showGridLines="0" zoomScale="170" zoomScaleNormal="170" workbookViewId="0">
      <selection activeCell="F38" sqref="F38"/>
    </sheetView>
  </sheetViews>
  <sheetFormatPr baseColWidth="10" defaultColWidth="10.88671875" defaultRowHeight="14.4" x14ac:dyDescent="0.3"/>
  <cols>
    <col min="1" max="1" width="1.44140625" style="40" customWidth="1"/>
    <col min="2" max="2" width="44.5546875" style="40" customWidth="1"/>
    <col min="3" max="3" width="20.44140625" style="40" bestFit="1" customWidth="1"/>
    <col min="4" max="4" width="16" style="40" customWidth="1"/>
    <col min="5" max="5" width="16.44140625" style="40" customWidth="1"/>
    <col min="6" max="6" width="26" style="40" customWidth="1"/>
    <col min="7" max="7" width="13.5546875" style="40" customWidth="1"/>
    <col min="8" max="16384" width="10.88671875" style="40"/>
  </cols>
  <sheetData>
    <row r="1" spans="1:6" ht="57.6" customHeight="1" x14ac:dyDescent="0.3">
      <c r="F1" s="40" t="s">
        <v>10</v>
      </c>
    </row>
    <row r="2" spans="1:6" x14ac:dyDescent="0.3">
      <c r="B2" s="158" t="s">
        <v>183</v>
      </c>
      <c r="C2" s="159">
        <f>'1. Calcul Avec prov'!B16</f>
        <v>45689</v>
      </c>
    </row>
    <row r="3" spans="1:6" x14ac:dyDescent="0.3">
      <c r="B3" s="158" t="s">
        <v>184</v>
      </c>
      <c r="C3" s="121" t="str">
        <f>'1. Calcul Avec prov'!B17</f>
        <v>CDI CADRE</v>
      </c>
    </row>
    <row r="4" spans="1:6" ht="15" customHeight="1" x14ac:dyDescent="0.3">
      <c r="B4" s="197" t="s">
        <v>186</v>
      </c>
      <c r="C4" s="197"/>
      <c r="D4" s="197"/>
      <c r="E4" s="197"/>
    </row>
    <row r="5" spans="1:6" ht="23.4" customHeight="1" x14ac:dyDescent="0.3">
      <c r="B5" s="198"/>
      <c r="C5" s="198"/>
      <c r="D5" s="198"/>
      <c r="E5" s="198"/>
    </row>
    <row r="6" spans="1:6" ht="25.35" customHeight="1" x14ac:dyDescent="0.3">
      <c r="B6" s="193" t="s">
        <v>187</v>
      </c>
      <c r="C6" s="194"/>
      <c r="D6" s="82"/>
      <c r="E6" s="131" t="s">
        <v>42</v>
      </c>
    </row>
    <row r="7" spans="1:6" x14ac:dyDescent="0.3">
      <c r="B7" s="41" t="s">
        <v>13</v>
      </c>
      <c r="C7" s="199">
        <f>'1. Calcul Avec prov'!J4</f>
        <v>500</v>
      </c>
      <c r="D7" s="199"/>
      <c r="E7" s="200"/>
    </row>
    <row r="8" spans="1:6" x14ac:dyDescent="0.3">
      <c r="B8" s="42" t="s">
        <v>43</v>
      </c>
      <c r="C8" s="201">
        <f>'1. Calcul Avec prov'!J5</f>
        <v>18</v>
      </c>
      <c r="D8" s="201"/>
      <c r="E8" s="202"/>
    </row>
    <row r="9" spans="1:6" x14ac:dyDescent="0.3">
      <c r="A9" s="43"/>
      <c r="B9" s="163" t="s">
        <v>44</v>
      </c>
      <c r="C9" s="164"/>
      <c r="D9" s="164"/>
      <c r="E9" s="165">
        <f>'1. Calcul Avec prov'!J6</f>
        <v>9000</v>
      </c>
    </row>
    <row r="10" spans="1:6" x14ac:dyDescent="0.3">
      <c r="B10" s="44" t="s">
        <v>19</v>
      </c>
      <c r="C10" s="45"/>
      <c r="D10" s="46"/>
      <c r="E10" s="125">
        <f>'1. Calcul Avec prov'!M7+'1. Calcul Avec prov'!M23</f>
        <v>540</v>
      </c>
    </row>
    <row r="11" spans="1:6" x14ac:dyDescent="0.3">
      <c r="B11" s="89" t="s">
        <v>45</v>
      </c>
      <c r="D11" s="195">
        <f>'1. Calcul Avec prov'!J7</f>
        <v>0.06</v>
      </c>
      <c r="E11" s="196"/>
    </row>
    <row r="12" spans="1:6" x14ac:dyDescent="0.3">
      <c r="B12" s="89" t="s">
        <v>36</v>
      </c>
      <c r="D12" s="103"/>
      <c r="E12" s="104" t="str">
        <f>'1. Calcul Avec prov'!J23</f>
        <v>Oui</v>
      </c>
    </row>
    <row r="13" spans="1:6" x14ac:dyDescent="0.3">
      <c r="A13" s="43"/>
      <c r="B13" s="48" t="s">
        <v>46</v>
      </c>
      <c r="C13" s="47"/>
      <c r="D13" s="46"/>
      <c r="E13" s="125">
        <f>'1. Calcul Avec prov'!J11</f>
        <v>198</v>
      </c>
    </row>
    <row r="14" spans="1:6" x14ac:dyDescent="0.3">
      <c r="B14" s="48"/>
      <c r="E14" s="125"/>
    </row>
    <row r="15" spans="1:6" x14ac:dyDescent="0.3">
      <c r="B15" s="48" t="s">
        <v>32</v>
      </c>
      <c r="E15" s="160" t="str">
        <f>'1. Calcul Avec prov'!J17</f>
        <v>Oui</v>
      </c>
    </row>
    <row r="16" spans="1:6" x14ac:dyDescent="0.3">
      <c r="B16" s="161" t="s">
        <v>188</v>
      </c>
      <c r="E16" s="125">
        <f>'1. Calcul Avec prov'!M17</f>
        <v>30.4</v>
      </c>
    </row>
    <row r="17" spans="1:63" x14ac:dyDescent="0.3">
      <c r="B17" s="48"/>
      <c r="E17" s="125"/>
    </row>
    <row r="18" spans="1:63" x14ac:dyDescent="0.3">
      <c r="A18" s="43"/>
      <c r="B18" s="48" t="s">
        <v>28</v>
      </c>
      <c r="D18" s="83"/>
      <c r="E18" s="125">
        <f>'1. Calcul Avec prov'!M12</f>
        <v>0</v>
      </c>
    </row>
    <row r="19" spans="1:63" x14ac:dyDescent="0.3">
      <c r="A19" s="162"/>
      <c r="B19" s="161" t="s">
        <v>189</v>
      </c>
      <c r="D19" s="83"/>
      <c r="E19" s="125"/>
    </row>
    <row r="20" spans="1:63" x14ac:dyDescent="0.3">
      <c r="B20" s="48"/>
      <c r="E20" s="125"/>
    </row>
    <row r="21" spans="1:63" x14ac:dyDescent="0.3">
      <c r="A21" s="43"/>
      <c r="B21" s="48" t="s">
        <v>47</v>
      </c>
      <c r="D21" s="83"/>
      <c r="E21" s="125">
        <f>'1. Calcul Avec prov'!J13</f>
        <v>99</v>
      </c>
    </row>
    <row r="22" spans="1:63" x14ac:dyDescent="0.3">
      <c r="B22" s="48"/>
      <c r="E22" s="125"/>
    </row>
    <row r="23" spans="1:63" x14ac:dyDescent="0.3">
      <c r="A23" s="43"/>
      <c r="B23" s="138" t="s">
        <v>48</v>
      </c>
      <c r="D23" s="83"/>
      <c r="E23" s="126">
        <f>'1. Calcul Avec prov'!M8+'1. Calcul Avec prov'!M9+'1. Calcul Avec prov'!M10</f>
        <v>180</v>
      </c>
    </row>
    <row r="24" spans="1:63" x14ac:dyDescent="0.3">
      <c r="A24" s="43"/>
      <c r="B24" s="89" t="s">
        <v>49</v>
      </c>
      <c r="E24" s="127">
        <f>'1. Calcul Avec prov'!J8+'1. Calcul Avec prov'!J9+'1. Calcul Avec prov'!J10</f>
        <v>0.02</v>
      </c>
    </row>
    <row r="25" spans="1:63" ht="20.399999999999999" customHeight="1" x14ac:dyDescent="0.3">
      <c r="A25" s="43"/>
      <c r="B25" s="138" t="s">
        <v>30</v>
      </c>
      <c r="D25" s="83"/>
      <c r="E25" s="49">
        <f>'1. Calcul Avec prov'!J14</f>
        <v>7983</v>
      </c>
    </row>
    <row r="26" spans="1:63" s="139" customFormat="1" x14ac:dyDescent="0.3">
      <c r="B26" s="166" t="s">
        <v>190</v>
      </c>
      <c r="C26" s="167"/>
      <c r="D26" s="168"/>
      <c r="E26" s="169">
        <f>'1. Calcul Avec prov'!B5</f>
        <v>5453.2040724143926</v>
      </c>
      <c r="F26" s="40"/>
      <c r="G26" s="40"/>
      <c r="H26" s="40"/>
      <c r="I26" s="40"/>
      <c r="J26" s="40"/>
      <c r="K26" s="40"/>
      <c r="L26" s="40"/>
      <c r="M26" s="40"/>
      <c r="N26" s="40"/>
      <c r="O26" s="40"/>
      <c r="P26" s="40"/>
      <c r="Q26" s="40"/>
      <c r="R26" s="40"/>
      <c r="S26" s="40"/>
      <c r="T26" s="40"/>
      <c r="U26" s="40"/>
      <c r="V26" s="40"/>
      <c r="W26" s="40"/>
      <c r="X26" s="40"/>
      <c r="Y26" s="40"/>
      <c r="Z26" s="40"/>
      <c r="AA26" s="40"/>
      <c r="AB26" s="40"/>
      <c r="AC26" s="40"/>
      <c r="AD26" s="40"/>
      <c r="AE26" s="40"/>
      <c r="AF26" s="40"/>
      <c r="AG26" s="40"/>
      <c r="AH26" s="40"/>
      <c r="AI26" s="40"/>
      <c r="AJ26" s="40"/>
      <c r="AK26" s="40"/>
      <c r="AL26" s="40"/>
      <c r="AM26" s="40"/>
      <c r="AN26" s="40"/>
      <c r="AO26" s="40"/>
      <c r="AP26" s="40"/>
      <c r="AQ26" s="40"/>
      <c r="AR26" s="40"/>
      <c r="AS26" s="40"/>
      <c r="AT26" s="40"/>
      <c r="AU26" s="40"/>
      <c r="AV26" s="40"/>
      <c r="AW26" s="40"/>
      <c r="AX26" s="40"/>
      <c r="AY26" s="40"/>
      <c r="AZ26" s="40"/>
      <c r="BA26" s="40"/>
      <c r="BB26" s="40"/>
      <c r="BC26" s="40"/>
      <c r="BD26" s="40"/>
      <c r="BE26" s="40"/>
      <c r="BF26" s="40"/>
      <c r="BG26" s="40"/>
      <c r="BH26" s="40"/>
      <c r="BI26" s="40"/>
      <c r="BJ26" s="40"/>
      <c r="BK26" s="40"/>
    </row>
    <row r="27" spans="1:63" s="141" customFormat="1" ht="18.600000000000001" customHeight="1" x14ac:dyDescent="0.3">
      <c r="A27" s="140"/>
      <c r="B27" s="134" t="s">
        <v>50</v>
      </c>
      <c r="C27" s="148"/>
      <c r="D27" s="148"/>
      <c r="E27" s="128" t="e">
        <f>'BS . Avec prov'!G43</f>
        <v>#REF!</v>
      </c>
      <c r="F27" s="40"/>
      <c r="G27" s="40"/>
      <c r="H27" s="40"/>
      <c r="I27" s="40"/>
      <c r="J27" s="40"/>
      <c r="K27" s="40"/>
      <c r="L27" s="40"/>
      <c r="M27" s="40"/>
      <c r="N27" s="40"/>
      <c r="O27" s="40"/>
      <c r="P27" s="40"/>
      <c r="Q27" s="40"/>
      <c r="R27" s="40"/>
      <c r="S27" s="40"/>
      <c r="T27" s="40"/>
      <c r="U27" s="40"/>
      <c r="V27" s="40"/>
      <c r="W27" s="40"/>
      <c r="X27" s="40"/>
      <c r="Y27" s="40"/>
      <c r="Z27" s="40"/>
      <c r="AA27" s="40"/>
      <c r="AB27" s="40"/>
      <c r="AC27" s="40"/>
      <c r="AD27" s="40"/>
      <c r="AE27" s="40"/>
      <c r="AF27" s="40"/>
      <c r="AG27" s="40"/>
      <c r="AH27" s="40"/>
      <c r="AI27" s="40"/>
      <c r="AJ27" s="40"/>
      <c r="AK27" s="40"/>
      <c r="AL27" s="40"/>
      <c r="AM27" s="40"/>
      <c r="AN27" s="40"/>
      <c r="AO27" s="40"/>
      <c r="AP27" s="40"/>
      <c r="AQ27" s="40"/>
      <c r="AR27" s="40"/>
      <c r="AS27" s="40"/>
      <c r="AT27" s="40"/>
      <c r="AU27" s="40"/>
      <c r="AV27" s="40"/>
      <c r="AW27" s="40"/>
      <c r="AX27" s="40"/>
      <c r="AY27" s="40"/>
      <c r="AZ27" s="40"/>
      <c r="BA27" s="40"/>
      <c r="BB27" s="40"/>
      <c r="BC27" s="40"/>
      <c r="BD27" s="40"/>
      <c r="BE27" s="40"/>
      <c r="BF27" s="40"/>
      <c r="BG27" s="40"/>
      <c r="BH27" s="40"/>
      <c r="BI27" s="40"/>
      <c r="BJ27" s="40"/>
      <c r="BK27" s="40"/>
    </row>
    <row r="28" spans="1:63" ht="13.2" customHeight="1" x14ac:dyDescent="0.3">
      <c r="B28" s="171" t="s">
        <v>51</v>
      </c>
      <c r="C28" s="170"/>
      <c r="D28" s="172"/>
      <c r="E28" s="173">
        <f>'BS . Avec prov'!E47</f>
        <v>4104.8850913125525</v>
      </c>
    </row>
    <row r="29" spans="1:63" x14ac:dyDescent="0.3">
      <c r="A29" s="43"/>
      <c r="B29" s="89" t="s">
        <v>52</v>
      </c>
      <c r="C29" s="90"/>
      <c r="D29" s="129"/>
      <c r="E29" s="132">
        <f>'BS . Avec prov'!E43+'3. Template'!E21</f>
        <v>1348.3189811018394</v>
      </c>
    </row>
    <row r="30" spans="1:63" x14ac:dyDescent="0.3">
      <c r="B30" s="47" t="s">
        <v>53</v>
      </c>
      <c r="C30" s="90"/>
      <c r="D30" s="129"/>
      <c r="E30" s="133">
        <f>'BS . Avec prov'!E48+'BS . Avec prov'!E49</f>
        <v>198</v>
      </c>
    </row>
    <row r="31" spans="1:63" x14ac:dyDescent="0.3">
      <c r="A31" s="90"/>
      <c r="B31" s="171" t="s">
        <v>54</v>
      </c>
      <c r="C31" s="174"/>
      <c r="D31" s="172"/>
      <c r="E31" s="173">
        <f>E28+E30</f>
        <v>4302.8850913125525</v>
      </c>
    </row>
    <row r="32" spans="1:63" x14ac:dyDescent="0.3">
      <c r="A32" s="90"/>
      <c r="B32" s="135" t="s">
        <v>55</v>
      </c>
      <c r="C32" s="136"/>
      <c r="D32" s="130"/>
      <c r="E32" s="137">
        <f>'BS . Avec prov'!E52</f>
        <v>98.447088358665496</v>
      </c>
    </row>
    <row r="33" spans="2:5" x14ac:dyDescent="0.3">
      <c r="B33" s="142"/>
      <c r="C33" s="143"/>
      <c r="D33" s="144"/>
      <c r="E33" s="143"/>
    </row>
    <row r="34" spans="2:5" x14ac:dyDescent="0.3">
      <c r="B34" s="145" t="s">
        <v>56</v>
      </c>
      <c r="C34" s="146"/>
      <c r="D34" s="147"/>
      <c r="E34" s="149">
        <f>(E32+E31)/(E9-E10-E13)</f>
        <v>0.53271994428361391</v>
      </c>
    </row>
    <row r="35" spans="2:5" ht="15" thickBot="1" x14ac:dyDescent="0.35">
      <c r="B35" s="175"/>
      <c r="C35" s="176"/>
      <c r="D35" s="162"/>
      <c r="E35" s="177"/>
    </row>
    <row r="36" spans="2:5" ht="27" customHeight="1" thickBot="1" x14ac:dyDescent="0.35">
      <c r="B36" s="190" t="s">
        <v>191</v>
      </c>
      <c r="C36" s="191"/>
      <c r="D36" s="191"/>
      <c r="E36" s="192"/>
    </row>
    <row r="37" spans="2:5" ht="15" customHeight="1" x14ac:dyDescent="0.3"/>
    <row r="39" spans="2:5" x14ac:dyDescent="0.3">
      <c r="B39"/>
    </row>
  </sheetData>
  <mergeCells count="6">
    <mergeCell ref="B36:E36"/>
    <mergeCell ref="B6:C6"/>
    <mergeCell ref="D11:E11"/>
    <mergeCell ref="B4:E5"/>
    <mergeCell ref="C7:E7"/>
    <mergeCell ref="C8:E8"/>
  </mergeCells>
  <pageMargins left="1" right="1" top="1" bottom="1" header="0.5" footer="0.5"/>
  <pageSetup scale="67" orientation="portrait" r:id="rId1"/>
  <customProperties>
    <customPr name="OrphanNamesChecked" r:id="rId2"/>
  </customProperties>
  <drawing r:id="rId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143905-15E9-4E72-B655-3DB38648C623}">
  <sheetPr>
    <tabColor theme="2" tint="-9.9978637043366805E-2"/>
  </sheetPr>
  <dimension ref="A1:B19"/>
  <sheetViews>
    <sheetView zoomScale="180" zoomScaleNormal="180" workbookViewId="0">
      <selection activeCell="E19" sqref="E19"/>
    </sheetView>
  </sheetViews>
  <sheetFormatPr baseColWidth="10" defaultRowHeight="14.4" x14ac:dyDescent="0.3"/>
  <cols>
    <col min="1" max="1" width="54" bestFit="1" customWidth="1"/>
    <col min="2" max="2" width="115.77734375" bestFit="1" customWidth="1"/>
  </cols>
  <sheetData>
    <row r="1" spans="1:2" ht="15" thickBot="1" x14ac:dyDescent="0.35"/>
    <row r="2" spans="1:2" ht="15" thickBot="1" x14ac:dyDescent="0.35">
      <c r="A2" s="182" t="s">
        <v>192</v>
      </c>
      <c r="B2" s="183" t="s">
        <v>193</v>
      </c>
    </row>
    <row r="3" spans="1:2" ht="15" thickBot="1" x14ac:dyDescent="0.35">
      <c r="A3" s="182" t="s">
        <v>194</v>
      </c>
      <c r="B3" s="184" t="s">
        <v>195</v>
      </c>
    </row>
    <row r="4" spans="1:2" ht="15" thickBot="1" x14ac:dyDescent="0.35">
      <c r="A4" s="182" t="s">
        <v>196</v>
      </c>
      <c r="B4" s="184" t="s">
        <v>197</v>
      </c>
    </row>
    <row r="5" spans="1:2" ht="29.4" thickBot="1" x14ac:dyDescent="0.35">
      <c r="A5" s="182" t="s">
        <v>19</v>
      </c>
      <c r="B5" s="185" t="s">
        <v>198</v>
      </c>
    </row>
    <row r="6" spans="1:2" ht="15" thickBot="1" x14ac:dyDescent="0.35">
      <c r="A6" s="182" t="s">
        <v>36</v>
      </c>
      <c r="B6" s="184" t="s">
        <v>199</v>
      </c>
    </row>
    <row r="7" spans="1:2" ht="43.8" thickBot="1" x14ac:dyDescent="0.35">
      <c r="A7" s="182" t="s">
        <v>200</v>
      </c>
      <c r="B7" s="185" t="s">
        <v>201</v>
      </c>
    </row>
    <row r="8" spans="1:2" ht="43.8" thickBot="1" x14ac:dyDescent="0.35">
      <c r="A8" s="182" t="s">
        <v>28</v>
      </c>
      <c r="B8" s="185" t="s">
        <v>202</v>
      </c>
    </row>
    <row r="9" spans="1:2" ht="29.4" thickBot="1" x14ac:dyDescent="0.35">
      <c r="A9" s="182" t="s">
        <v>203</v>
      </c>
      <c r="B9" s="185" t="s">
        <v>204</v>
      </c>
    </row>
    <row r="10" spans="1:2" x14ac:dyDescent="0.3">
      <c r="A10" s="203" t="s">
        <v>205</v>
      </c>
      <c r="B10" s="186" t="s">
        <v>206</v>
      </c>
    </row>
    <row r="11" spans="1:2" x14ac:dyDescent="0.3">
      <c r="A11" s="204"/>
      <c r="B11" s="187" t="s">
        <v>207</v>
      </c>
    </row>
    <row r="12" spans="1:2" ht="15" thickBot="1" x14ac:dyDescent="0.35">
      <c r="A12" s="205"/>
      <c r="B12" s="188" t="s">
        <v>208</v>
      </c>
    </row>
    <row r="13" spans="1:2" ht="29.4" thickBot="1" x14ac:dyDescent="0.35">
      <c r="A13" s="182" t="s">
        <v>30</v>
      </c>
      <c r="B13" s="185" t="s">
        <v>209</v>
      </c>
    </row>
    <row r="14" spans="1:2" x14ac:dyDescent="0.3">
      <c r="A14" s="203" t="s">
        <v>210</v>
      </c>
      <c r="B14" s="186" t="s">
        <v>219</v>
      </c>
    </row>
    <row r="15" spans="1:2" ht="29.4" thickBot="1" x14ac:dyDescent="0.35">
      <c r="A15" s="205"/>
      <c r="B15" s="188" t="s">
        <v>211</v>
      </c>
    </row>
    <row r="16" spans="1:2" ht="15" thickBot="1" x14ac:dyDescent="0.35">
      <c r="A16" s="182" t="s">
        <v>212</v>
      </c>
      <c r="B16" s="184" t="s">
        <v>213</v>
      </c>
    </row>
    <row r="17" spans="1:2" ht="15" thickBot="1" x14ac:dyDescent="0.35">
      <c r="A17" s="182" t="s">
        <v>214</v>
      </c>
      <c r="B17" s="184" t="s">
        <v>215</v>
      </c>
    </row>
    <row r="18" spans="1:2" ht="15" thickBot="1" x14ac:dyDescent="0.35">
      <c r="A18" s="182" t="s">
        <v>54</v>
      </c>
      <c r="B18" s="184" t="s">
        <v>216</v>
      </c>
    </row>
    <row r="19" spans="1:2" ht="29.4" thickBot="1" x14ac:dyDescent="0.35">
      <c r="A19" s="182" t="s">
        <v>217</v>
      </c>
      <c r="B19" s="189" t="s">
        <v>218</v>
      </c>
    </row>
  </sheetData>
  <mergeCells count="2">
    <mergeCell ref="A10:A12"/>
    <mergeCell ref="A14:A15"/>
  </mergeCell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3">
    <tabColor rgb="FF00CC99"/>
  </sheetPr>
  <dimension ref="A1:Z64"/>
  <sheetViews>
    <sheetView showGridLines="0" zoomScale="140" zoomScaleNormal="140" workbookViewId="0">
      <selection activeCell="O23" sqref="O23"/>
    </sheetView>
  </sheetViews>
  <sheetFormatPr baseColWidth="10" defaultColWidth="8.5546875" defaultRowHeight="14.4" x14ac:dyDescent="0.3"/>
  <cols>
    <col min="1" max="1" width="7" customWidth="1"/>
    <col min="2" max="2" width="42.44140625" customWidth="1"/>
    <col min="3" max="4" width="9.44140625" bestFit="1" customWidth="1"/>
    <col min="5" max="5" width="11.44140625" bestFit="1" customWidth="1"/>
    <col min="6" max="6" width="8.44140625" customWidth="1"/>
    <col min="7" max="7" width="10.44140625" customWidth="1"/>
    <col min="9" max="9" width="27.5546875" hidden="1" customWidth="1"/>
    <col min="10" max="10" width="11.5546875" hidden="1" customWidth="1"/>
    <col min="11" max="11" width="17.44140625" hidden="1" customWidth="1"/>
    <col min="12" max="13" width="12" hidden="1" customWidth="1"/>
    <col min="14" max="14" width="12.5546875" hidden="1" customWidth="1"/>
    <col min="15" max="15" width="12.5546875" customWidth="1"/>
    <col min="16" max="16" width="11.5546875" customWidth="1"/>
    <col min="17" max="17" width="12" customWidth="1"/>
    <col min="18" max="18" width="17" customWidth="1"/>
    <col min="19" max="19" width="9.5546875" customWidth="1"/>
    <col min="20" max="20" width="12" customWidth="1"/>
    <col min="21" max="21" width="12.5546875" customWidth="1"/>
    <col min="22" max="22" width="9.5546875" customWidth="1"/>
    <col min="23" max="23" width="27.44140625" bestFit="1" customWidth="1"/>
    <col min="24" max="24" width="9" bestFit="1" customWidth="1"/>
  </cols>
  <sheetData>
    <row r="1" spans="1:26" x14ac:dyDescent="0.3">
      <c r="A1" s="211" t="s">
        <v>57</v>
      </c>
      <c r="B1" s="212"/>
      <c r="C1" s="212"/>
      <c r="D1" s="212"/>
      <c r="E1" s="212"/>
      <c r="F1" s="212"/>
      <c r="G1" s="212"/>
    </row>
    <row r="2" spans="1:26" x14ac:dyDescent="0.3">
      <c r="A2" t="s">
        <v>58</v>
      </c>
      <c r="C2" s="100">
        <v>11.88</v>
      </c>
      <c r="G2" s="1"/>
      <c r="J2" s="99"/>
    </row>
    <row r="3" spans="1:26" x14ac:dyDescent="0.3">
      <c r="C3" s="211" t="s">
        <v>59</v>
      </c>
      <c r="D3" s="212"/>
      <c r="E3" s="212"/>
      <c r="F3" s="212"/>
      <c r="G3" s="213"/>
    </row>
    <row r="4" spans="1:26" ht="28.8" x14ac:dyDescent="0.3">
      <c r="A4" s="2" t="s">
        <v>60</v>
      </c>
      <c r="B4" s="2" t="s">
        <v>61</v>
      </c>
      <c r="C4" s="2" t="s">
        <v>62</v>
      </c>
      <c r="D4" s="2" t="s">
        <v>63</v>
      </c>
      <c r="E4" s="2" t="s">
        <v>64</v>
      </c>
      <c r="F4" s="2"/>
      <c r="G4" s="2"/>
    </row>
    <row r="5" spans="1:26" x14ac:dyDescent="0.3">
      <c r="A5" s="3"/>
      <c r="B5" s="8" t="s">
        <v>65</v>
      </c>
      <c r="C5" s="81">
        <f>'1. Calcul Avec prov'!J5</f>
        <v>18</v>
      </c>
      <c r="D5" s="60">
        <f>+E5/C5</f>
        <v>302.95578180079957</v>
      </c>
      <c r="E5" s="17">
        <f>'1. Calcul Avec prov'!B5</f>
        <v>5453.2040724143926</v>
      </c>
      <c r="F5" s="17"/>
      <c r="G5" s="8" t="s">
        <v>66</v>
      </c>
      <c r="W5" s="3" t="s">
        <v>178</v>
      </c>
      <c r="X5" s="4">
        <v>216</v>
      </c>
      <c r="Y5" s="4"/>
      <c r="Z5" s="5" t="s">
        <v>66</v>
      </c>
    </row>
    <row r="6" spans="1:26" x14ac:dyDescent="0.3">
      <c r="A6" s="3"/>
      <c r="B6" s="3" t="s">
        <v>67</v>
      </c>
      <c r="C6" s="80">
        <f>'1. Calcul Avec prov'!J5</f>
        <v>18</v>
      </c>
      <c r="D6" s="4">
        <f>(X11*0.85)/1.1/1.05</f>
        <v>132.46753246753246</v>
      </c>
      <c r="E6" s="4">
        <f>+C6*D6</f>
        <v>2384.4155844155844</v>
      </c>
      <c r="F6" s="4"/>
      <c r="G6" s="5"/>
      <c r="W6" s="3" t="s">
        <v>179</v>
      </c>
      <c r="X6" s="4">
        <v>3925</v>
      </c>
      <c r="Y6" s="4"/>
      <c r="Z6" s="5" t="s">
        <v>66</v>
      </c>
    </row>
    <row r="7" spans="1:26" x14ac:dyDescent="0.3">
      <c r="A7" s="3"/>
      <c r="B7" s="3" t="s">
        <v>68</v>
      </c>
      <c r="C7" s="80">
        <f>'1. Calcul Avec prov'!J5</f>
        <v>18</v>
      </c>
      <c r="D7" s="4">
        <f>(D5/1.1/1.05)-D6</f>
        <v>129.83184571497793</v>
      </c>
      <c r="E7" s="4">
        <f>+C7*D7</f>
        <v>2336.973222869603</v>
      </c>
      <c r="F7" s="4"/>
      <c r="G7" s="5"/>
      <c r="W7" s="3" t="s">
        <v>69</v>
      </c>
      <c r="X7" s="4">
        <f>+IF(E10&gt;X6,X6,E10)</f>
        <v>3925</v>
      </c>
      <c r="Y7" s="4"/>
      <c r="Z7" s="5" t="s">
        <v>66</v>
      </c>
    </row>
    <row r="8" spans="1:26" x14ac:dyDescent="0.3">
      <c r="A8" s="3"/>
      <c r="B8" s="3" t="s">
        <v>70</v>
      </c>
      <c r="C8" s="80">
        <f>'1. Calcul Avec prov'!J5</f>
        <v>18</v>
      </c>
      <c r="D8" s="4">
        <f>(D6+D7)*0.05</f>
        <v>13.114968909125521</v>
      </c>
      <c r="E8" s="4">
        <f>+C8*D8</f>
        <v>236.06944036425938</v>
      </c>
      <c r="F8" s="4"/>
      <c r="G8" s="5"/>
      <c r="H8" s="16"/>
      <c r="W8" s="3" t="s">
        <v>71</v>
      </c>
      <c r="X8" s="4">
        <f>IF($E$10&lt;$X$6,0,$E$10-$X$7)</f>
        <v>1528.2040724143917</v>
      </c>
      <c r="Y8" s="4"/>
      <c r="Z8" s="5" t="s">
        <v>66</v>
      </c>
    </row>
    <row r="9" spans="1:26" x14ac:dyDescent="0.3">
      <c r="A9" s="3"/>
      <c r="B9" s="3" t="s">
        <v>72</v>
      </c>
      <c r="C9" s="80">
        <f>'1. Calcul Avec prov'!J5</f>
        <v>18</v>
      </c>
      <c r="D9" s="4">
        <f>(D8+D6+D7)*0.1</f>
        <v>27.541434709163596</v>
      </c>
      <c r="E9" s="4">
        <f>+C9*D9</f>
        <v>495.7458247649447</v>
      </c>
      <c r="F9" s="4"/>
      <c r="G9" s="5"/>
      <c r="H9" s="16"/>
      <c r="W9" s="3" t="s">
        <v>181</v>
      </c>
      <c r="X9" s="4">
        <f>151.67*C2*2.4242</f>
        <v>4368.0195583200002</v>
      </c>
      <c r="Y9" s="4"/>
      <c r="Z9" s="5" t="s">
        <v>66</v>
      </c>
    </row>
    <row r="10" spans="1:26" ht="15" customHeight="1" x14ac:dyDescent="0.3">
      <c r="A10" s="3"/>
      <c r="B10" s="8" t="s">
        <v>73</v>
      </c>
      <c r="C10" s="81">
        <f>'1. Calcul Avec prov'!J5</f>
        <v>18</v>
      </c>
      <c r="D10" s="60">
        <f>SUM(D6:D9)</f>
        <v>302.95578180079951</v>
      </c>
      <c r="E10" s="60">
        <f>SUM(E6:E9)</f>
        <v>5453.2040724143917</v>
      </c>
      <c r="F10" s="17"/>
      <c r="G10" s="8" t="s">
        <v>66</v>
      </c>
      <c r="J10" s="99"/>
      <c r="W10" s="3" t="s">
        <v>176</v>
      </c>
      <c r="X10" s="4">
        <v>3269</v>
      </c>
      <c r="Y10" s="4"/>
      <c r="Z10" s="5" t="s">
        <v>66</v>
      </c>
    </row>
    <row r="11" spans="1:26" ht="24.6" x14ac:dyDescent="0.3">
      <c r="A11" s="69"/>
      <c r="B11" s="69"/>
      <c r="C11" s="70" t="s">
        <v>74</v>
      </c>
      <c r="D11" s="70" t="s">
        <v>75</v>
      </c>
      <c r="E11" s="70" t="s">
        <v>76</v>
      </c>
      <c r="F11" s="70" t="s">
        <v>77</v>
      </c>
      <c r="G11" s="70" t="s">
        <v>78</v>
      </c>
      <c r="W11" s="3" t="s">
        <v>177</v>
      </c>
      <c r="X11" s="4">
        <v>180</v>
      </c>
      <c r="Y11" s="4"/>
      <c r="Z11" s="5" t="s">
        <v>66</v>
      </c>
    </row>
    <row r="12" spans="1:26" x14ac:dyDescent="0.3">
      <c r="A12" s="63" t="s">
        <v>79</v>
      </c>
      <c r="B12" s="63" t="s">
        <v>80</v>
      </c>
      <c r="C12" s="64">
        <f>+$E$10</f>
        <v>5453.2040724143917</v>
      </c>
      <c r="D12" s="65">
        <v>0</v>
      </c>
      <c r="E12" s="64">
        <f>+C12*D12</f>
        <v>0</v>
      </c>
      <c r="F12" s="65">
        <f>IF(C12&gt;X9,13%,7%)</f>
        <v>0.13</v>
      </c>
      <c r="G12" s="64">
        <f>+C12*F12</f>
        <v>708.91652941387099</v>
      </c>
      <c r="H12" s="11" t="s">
        <v>81</v>
      </c>
    </row>
    <row r="13" spans="1:26" x14ac:dyDescent="0.3">
      <c r="A13" s="63" t="s">
        <v>82</v>
      </c>
      <c r="B13" s="63" t="s">
        <v>83</v>
      </c>
      <c r="C13" s="64">
        <f>+$E$10</f>
        <v>5453.2040724143917</v>
      </c>
      <c r="D13" s="65">
        <v>0</v>
      </c>
      <c r="E13" s="64">
        <f t="shared" ref="E13:E35" si="0">+C13*D13</f>
        <v>0</v>
      </c>
      <c r="F13" s="65">
        <v>3.0000000000000001E-3</v>
      </c>
      <c r="G13" s="64">
        <f>+C13*F13</f>
        <v>16.359612217243175</v>
      </c>
      <c r="H13" s="11" t="s">
        <v>81</v>
      </c>
    </row>
    <row r="14" spans="1:26" x14ac:dyDescent="0.3">
      <c r="A14" s="63" t="s">
        <v>84</v>
      </c>
      <c r="B14" s="63" t="s">
        <v>85</v>
      </c>
      <c r="C14" s="64">
        <f>+$E$10</f>
        <v>5453.2040724143917</v>
      </c>
      <c r="D14" s="65">
        <v>4.0000000000000001E-3</v>
      </c>
      <c r="E14" s="64">
        <f t="shared" si="0"/>
        <v>21.812816289657569</v>
      </c>
      <c r="F14" s="65">
        <v>2.0199999999999999E-2</v>
      </c>
      <c r="G14" s="64">
        <f t="shared" ref="G14:G37" si="1">+C14*F14</f>
        <v>110.1547222627707</v>
      </c>
      <c r="H14" s="11" t="s">
        <v>81</v>
      </c>
      <c r="W14" t="s">
        <v>10</v>
      </c>
    </row>
    <row r="15" spans="1:26" x14ac:dyDescent="0.3">
      <c r="A15" s="63" t="s">
        <v>86</v>
      </c>
      <c r="B15" s="63" t="s">
        <v>87</v>
      </c>
      <c r="C15" s="64">
        <f>+IF(E$10&lt;X$6,E$10,X$6)</f>
        <v>3925</v>
      </c>
      <c r="D15" s="65">
        <v>6.9000000000000006E-2</v>
      </c>
      <c r="E15" s="64">
        <f t="shared" si="0"/>
        <v>270.82500000000005</v>
      </c>
      <c r="F15" s="65">
        <v>8.5500000000000007E-2</v>
      </c>
      <c r="G15" s="64">
        <f t="shared" si="1"/>
        <v>335.58750000000003</v>
      </c>
      <c r="H15" t="s">
        <v>81</v>
      </c>
    </row>
    <row r="16" spans="1:26" x14ac:dyDescent="0.3">
      <c r="A16" s="63" t="s">
        <v>88</v>
      </c>
      <c r="B16" s="63" t="s">
        <v>89</v>
      </c>
      <c r="C16" s="64">
        <f>+$E$10</f>
        <v>5453.2040724143917</v>
      </c>
      <c r="D16" s="65">
        <v>0</v>
      </c>
      <c r="E16" s="64">
        <f t="shared" si="0"/>
        <v>0</v>
      </c>
      <c r="F16" s="65">
        <v>3.4500000000000003E-2</v>
      </c>
      <c r="G16" s="64">
        <f t="shared" si="1"/>
        <v>188.13554049829654</v>
      </c>
      <c r="H16" s="11" t="s">
        <v>81</v>
      </c>
    </row>
    <row r="17" spans="1:14" x14ac:dyDescent="0.3">
      <c r="A17" s="63" t="s">
        <v>90</v>
      </c>
      <c r="B17" s="63" t="s">
        <v>91</v>
      </c>
      <c r="C17" s="64">
        <f>+$E$10</f>
        <v>5453.2040724143917</v>
      </c>
      <c r="D17" s="65">
        <v>0</v>
      </c>
      <c r="E17" s="64">
        <f t="shared" si="0"/>
        <v>0</v>
      </c>
      <c r="F17" s="65">
        <v>4.5999999999999999E-3</v>
      </c>
      <c r="G17" s="64">
        <f t="shared" si="1"/>
        <v>25.084738733106203</v>
      </c>
      <c r="H17" s="11" t="s">
        <v>81</v>
      </c>
    </row>
    <row r="18" spans="1:14" x14ac:dyDescent="0.3">
      <c r="A18" s="63" t="s">
        <v>92</v>
      </c>
      <c r="B18" s="63" t="s">
        <v>93</v>
      </c>
      <c r="C18" s="64">
        <f>+$E$10</f>
        <v>5453.2040724143917</v>
      </c>
      <c r="D18" s="65">
        <v>0</v>
      </c>
      <c r="E18" s="64">
        <f t="shared" si="0"/>
        <v>0</v>
      </c>
      <c r="F18" s="65">
        <v>5.0000000000000001E-3</v>
      </c>
      <c r="G18" s="64">
        <f t="shared" si="1"/>
        <v>27.266020362071959</v>
      </c>
      <c r="H18" s="11" t="s">
        <v>94</v>
      </c>
    </row>
    <row r="19" spans="1:14" x14ac:dyDescent="0.3">
      <c r="A19" s="63" t="s">
        <v>95</v>
      </c>
      <c r="B19" s="63" t="s">
        <v>96</v>
      </c>
      <c r="C19" s="64">
        <f>+X$7+X$8</f>
        <v>5453.2040724143917</v>
      </c>
      <c r="D19" s="65">
        <v>0</v>
      </c>
      <c r="E19" s="64">
        <f>+C19*D19</f>
        <v>0</v>
      </c>
      <c r="F19" s="65">
        <v>4.0500000000000001E-2</v>
      </c>
      <c r="G19" s="64">
        <f>+F19*C19</f>
        <v>220.85476493278287</v>
      </c>
      <c r="H19" t="s">
        <v>81</v>
      </c>
    </row>
    <row r="20" spans="1:14" x14ac:dyDescent="0.3">
      <c r="A20" s="63" t="s">
        <v>97</v>
      </c>
      <c r="B20" s="63" t="s">
        <v>98</v>
      </c>
      <c r="C20" s="64">
        <f>+C19</f>
        <v>5453.2040724143917</v>
      </c>
      <c r="D20" s="65">
        <v>0</v>
      </c>
      <c r="E20" s="64">
        <f>+C20*D20</f>
        <v>0</v>
      </c>
      <c r="F20" s="65">
        <v>2.5000000000000001E-3</v>
      </c>
      <c r="G20" s="64">
        <f>+F20*C20</f>
        <v>13.63301018103598</v>
      </c>
      <c r="H20" t="s">
        <v>81</v>
      </c>
    </row>
    <row r="21" spans="1:14" ht="15" x14ac:dyDescent="0.35">
      <c r="A21" s="63" t="s">
        <v>99</v>
      </c>
      <c r="B21" s="63" t="s">
        <v>100</v>
      </c>
      <c r="C21" s="64">
        <f>+C15</f>
        <v>3925</v>
      </c>
      <c r="D21" s="65">
        <v>3.15E-2</v>
      </c>
      <c r="E21" s="64">
        <f t="shared" si="0"/>
        <v>123.6375</v>
      </c>
      <c r="F21" s="65">
        <v>4.7199999999999999E-2</v>
      </c>
      <c r="G21" s="64">
        <f t="shared" si="1"/>
        <v>185.26</v>
      </c>
      <c r="H21" t="s">
        <v>81</v>
      </c>
      <c r="J21" s="206" t="s">
        <v>101</v>
      </c>
      <c r="K21" s="207"/>
      <c r="L21" s="206" t="s">
        <v>102</v>
      </c>
      <c r="M21" s="207"/>
    </row>
    <row r="22" spans="1:14" ht="15" x14ac:dyDescent="0.35">
      <c r="A22" s="63" t="s">
        <v>103</v>
      </c>
      <c r="B22" s="63" t="s">
        <v>104</v>
      </c>
      <c r="C22" s="64">
        <f>+C20-C21</f>
        <v>1528.2040724143917</v>
      </c>
      <c r="D22" s="65">
        <v>8.6400000000000005E-2</v>
      </c>
      <c r="E22" s="64">
        <f>+C22*D22</f>
        <v>132.03683185660344</v>
      </c>
      <c r="F22" s="65">
        <v>0.1295</v>
      </c>
      <c r="G22" s="64">
        <f>+C22*F22</f>
        <v>197.90242737766374</v>
      </c>
      <c r="H22" t="s">
        <v>81</v>
      </c>
      <c r="I22" s="12" t="s">
        <v>32</v>
      </c>
      <c r="J22" s="107" t="s">
        <v>105</v>
      </c>
      <c r="K22" s="12" t="s">
        <v>106</v>
      </c>
      <c r="L22" s="107" t="s">
        <v>107</v>
      </c>
      <c r="M22" s="12" t="s">
        <v>108</v>
      </c>
      <c r="N22" s="107" t="s">
        <v>109</v>
      </c>
    </row>
    <row r="23" spans="1:14" ht="15" customHeight="1" x14ac:dyDescent="0.3">
      <c r="A23" s="63" t="s">
        <v>110</v>
      </c>
      <c r="B23" s="63" t="s">
        <v>111</v>
      </c>
      <c r="C23" s="64">
        <f>+IF(E$10&lt;X$6,0,E$10)</f>
        <v>5453.2040724143917</v>
      </c>
      <c r="D23" s="65">
        <v>1.4E-3</v>
      </c>
      <c r="E23" s="64">
        <f>+C23*D23</f>
        <v>7.6344857013801484</v>
      </c>
      <c r="F23" s="65">
        <v>2.0999999999999999E-3</v>
      </c>
      <c r="G23" s="64">
        <f>+C23*F23</f>
        <v>11.451728552070222</v>
      </c>
      <c r="H23" t="s">
        <v>81</v>
      </c>
      <c r="I23" s="13" t="s">
        <v>112</v>
      </c>
      <c r="J23" s="116"/>
      <c r="K23" s="14">
        <v>0</v>
      </c>
      <c r="L23" s="110"/>
      <c r="M23" s="14">
        <v>0</v>
      </c>
      <c r="N23" s="111">
        <f>M23+K23</f>
        <v>0</v>
      </c>
    </row>
    <row r="24" spans="1:14" x14ac:dyDescent="0.3">
      <c r="A24" s="63" t="s">
        <v>113</v>
      </c>
      <c r="B24" s="63" t="s">
        <v>114</v>
      </c>
      <c r="C24" s="64">
        <f>+C15</f>
        <v>3925</v>
      </c>
      <c r="D24" s="65">
        <v>8.6E-3</v>
      </c>
      <c r="E24" s="64">
        <f>+C24*D24</f>
        <v>33.755000000000003</v>
      </c>
      <c r="F24" s="65">
        <v>1.29E-2</v>
      </c>
      <c r="G24" s="64">
        <f>+C24*F24</f>
        <v>50.6325</v>
      </c>
      <c r="H24" t="s">
        <v>81</v>
      </c>
      <c r="I24" s="13" t="s">
        <v>115</v>
      </c>
      <c r="J24" s="116"/>
      <c r="K24" s="119">
        <v>45.6</v>
      </c>
      <c r="L24" s="116"/>
      <c r="M24" s="14">
        <v>30.4</v>
      </c>
      <c r="N24" s="111">
        <f>M24+K24</f>
        <v>76</v>
      </c>
    </row>
    <row r="25" spans="1:14" x14ac:dyDescent="0.3">
      <c r="A25" s="63" t="s">
        <v>113</v>
      </c>
      <c r="B25" s="63" t="s">
        <v>116</v>
      </c>
      <c r="C25" s="64">
        <f>+IF(E$10&lt;X$6,0,(E$10-X$6))</f>
        <v>1528.2040724143917</v>
      </c>
      <c r="D25" s="65">
        <v>1.0800000000000001E-2</v>
      </c>
      <c r="E25" s="64">
        <f>+C25*D25</f>
        <v>16.50460398207543</v>
      </c>
      <c r="F25" s="65">
        <v>1.6199999999999999E-2</v>
      </c>
      <c r="G25" s="64">
        <f>+C25*F25</f>
        <v>24.756905973113145</v>
      </c>
      <c r="H25" t="s">
        <v>81</v>
      </c>
      <c r="I25" s="13" t="s">
        <v>117</v>
      </c>
      <c r="J25" s="116"/>
      <c r="K25" s="119"/>
      <c r="L25" s="110"/>
      <c r="M25" s="14"/>
      <c r="N25" s="111"/>
    </row>
    <row r="26" spans="1:14" x14ac:dyDescent="0.3">
      <c r="A26" s="63" t="s">
        <v>118</v>
      </c>
      <c r="B26" s="63" t="s">
        <v>119</v>
      </c>
      <c r="C26" s="64">
        <f>+C20</f>
        <v>5453.2040724143917</v>
      </c>
      <c r="D26" s="65">
        <v>2.4000000000000001E-4</v>
      </c>
      <c r="E26" s="64">
        <f t="shared" si="0"/>
        <v>1.308768977379454</v>
      </c>
      <c r="F26" s="65">
        <v>3.6000000000000002E-4</v>
      </c>
      <c r="G26" s="64">
        <f t="shared" si="1"/>
        <v>1.9631534660691812</v>
      </c>
      <c r="H26" t="s">
        <v>81</v>
      </c>
      <c r="I26" s="13" t="s">
        <v>120</v>
      </c>
      <c r="J26" s="116"/>
      <c r="K26" s="119"/>
      <c r="L26" s="116"/>
      <c r="M26" s="14"/>
      <c r="N26" s="111"/>
    </row>
    <row r="27" spans="1:14" x14ac:dyDescent="0.3">
      <c r="A27" s="63" t="s">
        <v>121</v>
      </c>
      <c r="B27" s="63" t="s">
        <v>122</v>
      </c>
      <c r="C27" s="64">
        <f>+C24</f>
        <v>3925</v>
      </c>
      <c r="D27" s="65">
        <v>0</v>
      </c>
      <c r="E27" s="64">
        <f t="shared" si="0"/>
        <v>0</v>
      </c>
      <c r="F27" s="65">
        <v>7.0000000000000001E-3</v>
      </c>
      <c r="G27" s="64">
        <f t="shared" si="1"/>
        <v>27.475000000000001</v>
      </c>
      <c r="I27" s="112" t="s">
        <v>123</v>
      </c>
      <c r="J27" s="116"/>
      <c r="K27" s="119"/>
      <c r="L27" s="113"/>
      <c r="M27" s="14"/>
      <c r="N27" s="111"/>
    </row>
    <row r="28" spans="1:14" x14ac:dyDescent="0.3">
      <c r="A28" s="63" t="s">
        <v>124</v>
      </c>
      <c r="B28" s="63" t="s">
        <v>125</v>
      </c>
      <c r="C28" s="64">
        <f>+IF(E$10&lt;X$6,0,(E$10-X$6))</f>
        <v>1528.2040724143917</v>
      </c>
      <c r="D28" s="65">
        <v>3.5999999999999999E-3</v>
      </c>
      <c r="E28" s="64">
        <f t="shared" si="0"/>
        <v>5.5015346606918101</v>
      </c>
      <c r="F28" s="65">
        <v>3.5999999999999999E-3</v>
      </c>
      <c r="G28" s="64">
        <f t="shared" si="1"/>
        <v>5.5015346606918101</v>
      </c>
      <c r="I28" s="112" t="s">
        <v>126</v>
      </c>
      <c r="J28" s="116"/>
      <c r="K28" s="120"/>
      <c r="L28" s="113"/>
      <c r="M28" s="114"/>
      <c r="N28" s="115"/>
    </row>
    <row r="29" spans="1:14" x14ac:dyDescent="0.3">
      <c r="A29" s="63" t="s">
        <v>127</v>
      </c>
      <c r="B29" s="63" t="s">
        <v>128</v>
      </c>
      <c r="C29" s="64">
        <f>+X6</f>
        <v>3925</v>
      </c>
      <c r="D29" s="65"/>
      <c r="E29" s="64">
        <f>IF('1. Calcul Avec prov'!J17="Oui",'1. Calcul Avec prov'!M17,0)</f>
        <v>30.4</v>
      </c>
      <c r="F29" s="65"/>
      <c r="G29" s="64">
        <f>IF('1. Calcul Avec prov'!J17="Oui",K24,0)</f>
        <v>45.6</v>
      </c>
    </row>
    <row r="30" spans="1:14" x14ac:dyDescent="0.3">
      <c r="A30" s="63"/>
      <c r="B30" s="63" t="s">
        <v>182</v>
      </c>
      <c r="C30" s="64"/>
      <c r="D30" s="65"/>
      <c r="E30" s="64">
        <f>G27+G28+G29</f>
        <v>78.576534660691806</v>
      </c>
      <c r="F30" s="65">
        <v>0.08</v>
      </c>
      <c r="G30" s="64">
        <f>+E30*F30</f>
        <v>6.2861227728553448</v>
      </c>
    </row>
    <row r="31" spans="1:14" ht="15" x14ac:dyDescent="0.35">
      <c r="A31" s="63" t="s">
        <v>129</v>
      </c>
      <c r="B31" s="63" t="s">
        <v>130</v>
      </c>
      <c r="C31" s="64">
        <f>+E10</f>
        <v>5453.2040724143917</v>
      </c>
      <c r="D31" s="65">
        <v>0</v>
      </c>
      <c r="E31" s="64">
        <f>+C31*D31</f>
        <v>0</v>
      </c>
      <c r="F31" s="65">
        <v>1.6000000000000001E-4</v>
      </c>
      <c r="G31" s="64">
        <f>+C31*F31</f>
        <v>0.87251265158630276</v>
      </c>
      <c r="H31" t="s">
        <v>81</v>
      </c>
      <c r="K31" s="94" t="s">
        <v>32</v>
      </c>
      <c r="L31" s="95" t="s">
        <v>131</v>
      </c>
      <c r="M31" s="108"/>
    </row>
    <row r="32" spans="1:14" x14ac:dyDescent="0.3">
      <c r="A32" s="63" t="s">
        <v>132</v>
      </c>
      <c r="B32" s="63" t="s">
        <v>133</v>
      </c>
      <c r="C32" s="64">
        <f>+E10</f>
        <v>5453.2040724143917</v>
      </c>
      <c r="D32" s="65">
        <v>0</v>
      </c>
      <c r="E32" s="64">
        <f>+C32*D32</f>
        <v>0</v>
      </c>
      <c r="F32" s="65">
        <v>6.7999999999999996E-3</v>
      </c>
      <c r="G32" s="64">
        <f>+C32*F32</f>
        <v>37.081787692417862</v>
      </c>
      <c r="H32" t="s">
        <v>81</v>
      </c>
      <c r="K32" s="96" t="s">
        <v>33</v>
      </c>
      <c r="L32" s="150">
        <v>30.4</v>
      </c>
      <c r="M32" s="109"/>
    </row>
    <row r="33" spans="1:23" x14ac:dyDescent="0.3">
      <c r="A33" s="63" t="s">
        <v>134</v>
      </c>
      <c r="B33" s="63" t="s">
        <v>135</v>
      </c>
      <c r="C33" s="64">
        <f>+E10</f>
        <v>5453.2040724143917</v>
      </c>
      <c r="D33" s="65">
        <v>0</v>
      </c>
      <c r="E33" s="64">
        <f>+C33*D33</f>
        <v>0</v>
      </c>
      <c r="F33" s="65">
        <v>1E-4</v>
      </c>
      <c r="G33" s="64">
        <f>+C33*F33</f>
        <v>0.54532040724143915</v>
      </c>
      <c r="K33" s="97" t="s">
        <v>112</v>
      </c>
      <c r="L33" s="151"/>
      <c r="M33" s="109"/>
      <c r="W33" s="88"/>
    </row>
    <row r="34" spans="1:23" x14ac:dyDescent="0.3">
      <c r="A34" s="63" t="s">
        <v>136</v>
      </c>
      <c r="B34" s="63" t="s">
        <v>137</v>
      </c>
      <c r="C34" s="64">
        <f>E10</f>
        <v>5453.2040724143917</v>
      </c>
      <c r="D34" s="65">
        <v>0</v>
      </c>
      <c r="E34" s="64">
        <f>+C34*D34</f>
        <v>0</v>
      </c>
      <c r="F34" s="65">
        <v>4.0000000000000002E-4</v>
      </c>
      <c r="G34" s="64">
        <f>+C34*F34</f>
        <v>2.1812816289657566</v>
      </c>
    </row>
    <row r="35" spans="1:23" x14ac:dyDescent="0.3">
      <c r="A35" s="63" t="s">
        <v>138</v>
      </c>
      <c r="B35" s="63" t="s">
        <v>139</v>
      </c>
      <c r="C35" s="64">
        <f>+E10</f>
        <v>5453.2040724143917</v>
      </c>
      <c r="D35" s="65">
        <v>0</v>
      </c>
      <c r="E35" s="64">
        <f t="shared" si="0"/>
        <v>0</v>
      </c>
      <c r="F35" s="65">
        <v>1.6E-2</v>
      </c>
      <c r="G35" s="64">
        <f t="shared" si="1"/>
        <v>87.251265158630275</v>
      </c>
      <c r="H35" t="s">
        <v>81</v>
      </c>
      <c r="W35" t="s">
        <v>10</v>
      </c>
    </row>
    <row r="36" spans="1:23" x14ac:dyDescent="0.3">
      <c r="A36" s="63"/>
      <c r="B36" s="63" t="s">
        <v>140</v>
      </c>
      <c r="C36" s="64">
        <f>E10</f>
        <v>5453.2040724143917</v>
      </c>
      <c r="D36" s="65">
        <v>0</v>
      </c>
      <c r="E36" s="64">
        <f t="shared" ref="E36:E37" si="2">+C36*D36</f>
        <v>0</v>
      </c>
      <c r="F36" s="65">
        <f>0.45%</f>
        <v>4.5000000000000005E-3</v>
      </c>
      <c r="G36" s="64">
        <f t="shared" si="1"/>
        <v>24.539418325864766</v>
      </c>
    </row>
    <row r="37" spans="1:23" x14ac:dyDescent="0.3">
      <c r="A37" s="63"/>
      <c r="B37" s="63" t="s">
        <v>141</v>
      </c>
      <c r="C37" s="64">
        <f>E10</f>
        <v>5453.2040724143917</v>
      </c>
      <c r="D37" s="65">
        <v>0</v>
      </c>
      <c r="E37" s="64">
        <f t="shared" si="2"/>
        <v>0</v>
      </c>
      <c r="F37" s="65" t="e">
        <f>tx_taxe_transport/100</f>
        <v>#REF!</v>
      </c>
      <c r="G37" s="64" t="e">
        <f t="shared" si="1"/>
        <v>#REF!</v>
      </c>
      <c r="H37" t="s">
        <v>180</v>
      </c>
    </row>
    <row r="38" spans="1:23" x14ac:dyDescent="0.3">
      <c r="A38" s="63" t="s">
        <v>142</v>
      </c>
      <c r="B38" s="63" t="s">
        <v>143</v>
      </c>
      <c r="C38" s="64">
        <f>IF(($E$10/151.67)&gt;=(C2*3.3939),$E$10,0)</f>
        <v>0</v>
      </c>
      <c r="D38" s="65">
        <v>0</v>
      </c>
      <c r="E38" s="64">
        <f>+C38*D38</f>
        <v>0</v>
      </c>
      <c r="F38" s="65">
        <v>1.7999999999999999E-2</v>
      </c>
      <c r="G38" s="64">
        <f>+C38*F38</f>
        <v>0</v>
      </c>
      <c r="H38" t="s">
        <v>81</v>
      </c>
    </row>
    <row r="39" spans="1:23" x14ac:dyDescent="0.3">
      <c r="A39" s="63" t="s">
        <v>144</v>
      </c>
      <c r="B39" s="63" t="s">
        <v>145</v>
      </c>
      <c r="C39" s="64">
        <f>+C40</f>
        <v>5436.3495358078317</v>
      </c>
      <c r="D39" s="65">
        <v>2.9000000000000001E-2</v>
      </c>
      <c r="E39" s="64">
        <f>+C39*D39</f>
        <v>157.65413653842714</v>
      </c>
      <c r="F39" s="65">
        <v>0</v>
      </c>
      <c r="G39" s="64">
        <f>+C39*F39</f>
        <v>0</v>
      </c>
      <c r="H39" t="s">
        <v>81</v>
      </c>
    </row>
    <row r="40" spans="1:23" x14ac:dyDescent="0.3">
      <c r="A40" s="63" t="s">
        <v>146</v>
      </c>
      <c r="B40" s="63" t="s">
        <v>147</v>
      </c>
      <c r="C40" s="64">
        <f>+($E$10-($E$10*1.75%))+$G$27+$G$28+$G$29</f>
        <v>5436.3495358078317</v>
      </c>
      <c r="D40" s="65">
        <v>6.8000000000000005E-2</v>
      </c>
      <c r="E40" s="64">
        <f>+C40*D40</f>
        <v>369.67176843493257</v>
      </c>
      <c r="F40" s="65">
        <v>0</v>
      </c>
      <c r="G40" s="64">
        <f>+C40*F40</f>
        <v>0</v>
      </c>
      <c r="H40" s="16" t="s">
        <v>81</v>
      </c>
    </row>
    <row r="41" spans="1:23" x14ac:dyDescent="0.3">
      <c r="A41" s="6" t="s">
        <v>66</v>
      </c>
      <c r="B41" s="6" t="s">
        <v>148</v>
      </c>
      <c r="C41" s="6" t="s">
        <v>66</v>
      </c>
      <c r="D41" s="6"/>
      <c r="E41" s="7">
        <f>SUM(E12:E40)-E39</f>
        <v>1091.6648445634123</v>
      </c>
      <c r="F41" s="7"/>
      <c r="G41" s="17"/>
      <c r="W41" t="s">
        <v>10</v>
      </c>
    </row>
    <row r="42" spans="1:23" x14ac:dyDescent="0.3">
      <c r="A42" s="6" t="s">
        <v>66</v>
      </c>
      <c r="B42" s="6" t="s">
        <v>149</v>
      </c>
      <c r="C42" s="6" t="s">
        <v>66</v>
      </c>
      <c r="D42" s="6"/>
      <c r="E42" s="7">
        <f>+E39</f>
        <v>157.65413653842714</v>
      </c>
      <c r="F42" s="7"/>
      <c r="G42" s="8" t="s">
        <v>66</v>
      </c>
    </row>
    <row r="43" spans="1:23" x14ac:dyDescent="0.3">
      <c r="A43" s="71" t="s">
        <v>66</v>
      </c>
      <c r="B43" s="71" t="s">
        <v>150</v>
      </c>
      <c r="C43" s="74">
        <f>'1. Calcul Avec prov'!J5</f>
        <v>18</v>
      </c>
      <c r="D43" s="72">
        <f>E43/C43</f>
        <v>69.4066100612133</v>
      </c>
      <c r="E43" s="72">
        <f>E41+E42</f>
        <v>1249.3189811018394</v>
      </c>
      <c r="F43" s="72" t="e">
        <f>G43/C43</f>
        <v>#REF!</v>
      </c>
      <c r="G43" s="73" t="e">
        <f>SUM(G12:G40)</f>
        <v>#REF!</v>
      </c>
      <c r="H43" s="102" t="e">
        <f>G43/E10</f>
        <v>#REF!</v>
      </c>
    </row>
    <row r="44" spans="1:23" x14ac:dyDescent="0.3">
      <c r="A44" s="19" t="s">
        <v>66</v>
      </c>
      <c r="B44" s="19" t="s">
        <v>151</v>
      </c>
      <c r="C44" s="19" t="s">
        <v>66</v>
      </c>
      <c r="D44" s="19"/>
      <c r="E44" s="20">
        <f>+E10-E43+E42</f>
        <v>4361.5392278509798</v>
      </c>
      <c r="F44" s="20"/>
      <c r="G44" s="21" t="s">
        <v>66</v>
      </c>
    </row>
    <row r="45" spans="1:23" x14ac:dyDescent="0.3">
      <c r="A45" s="19"/>
      <c r="B45" s="19" t="s">
        <v>152</v>
      </c>
      <c r="C45" s="77">
        <f>'1. Calcul Avec prov'!J5</f>
        <v>18</v>
      </c>
      <c r="D45" s="84">
        <f>E45/C45</f>
        <v>233.54917173958626</v>
      </c>
      <c r="E45" s="20">
        <f>E10-E43</f>
        <v>4203.8850913125525</v>
      </c>
      <c r="F45" s="20"/>
      <c r="G45" s="21"/>
    </row>
    <row r="46" spans="1:23" x14ac:dyDescent="0.3">
      <c r="A46" s="22"/>
      <c r="B46" s="22" t="s">
        <v>153</v>
      </c>
      <c r="C46" s="76">
        <f>'1. Calcul Avec prov'!J5</f>
        <v>18</v>
      </c>
      <c r="D46" s="62">
        <f>E46/C46</f>
        <v>-5.5</v>
      </c>
      <c r="E46" s="23">
        <f>-'1. Calcul Avec prov'!M13</f>
        <v>-99</v>
      </c>
      <c r="F46" s="23"/>
      <c r="G46" s="24"/>
    </row>
    <row r="47" spans="1:23" x14ac:dyDescent="0.3">
      <c r="A47" s="22" t="s">
        <v>66</v>
      </c>
      <c r="B47" s="66" t="s">
        <v>154</v>
      </c>
      <c r="C47" s="75">
        <f>'1. Calcul Avec prov'!J5</f>
        <v>18</v>
      </c>
      <c r="D47" s="67">
        <f>E47/C47</f>
        <v>228.04917173958626</v>
      </c>
      <c r="E47" s="68">
        <f>E10-E43+E46</f>
        <v>4104.8850913125525</v>
      </c>
      <c r="F47" s="23"/>
      <c r="G47" s="24" t="s">
        <v>66</v>
      </c>
    </row>
    <row r="48" spans="1:23" x14ac:dyDescent="0.3">
      <c r="A48" s="22"/>
      <c r="B48" s="22" t="s">
        <v>155</v>
      </c>
      <c r="C48" s="76"/>
      <c r="D48" s="22"/>
      <c r="E48" s="23">
        <f>'1. Calcul Avec prov'!J12</f>
        <v>0</v>
      </c>
      <c r="F48" s="23"/>
      <c r="G48" s="24"/>
    </row>
    <row r="49" spans="1:23" x14ac:dyDescent="0.3">
      <c r="A49" s="22"/>
      <c r="B49" s="22" t="s">
        <v>156</v>
      </c>
      <c r="C49" s="76"/>
      <c r="D49" s="22"/>
      <c r="E49" s="23">
        <f>'1. Calcul Avec prov'!J21</f>
        <v>198</v>
      </c>
      <c r="F49" s="23"/>
      <c r="G49" s="24"/>
      <c r="S49" s="15"/>
    </row>
    <row r="50" spans="1:23" x14ac:dyDescent="0.3">
      <c r="A50" s="19" t="s">
        <v>66</v>
      </c>
      <c r="B50" s="19" t="s">
        <v>157</v>
      </c>
      <c r="C50" s="77">
        <f>'1. Calcul Avec prov'!J5</f>
        <v>18</v>
      </c>
      <c r="D50" s="19" t="e">
        <f>E50/C50</f>
        <v>#REF!</v>
      </c>
      <c r="E50" s="20" t="e">
        <f>+E10+G43</f>
        <v>#REF!</v>
      </c>
      <c r="F50" s="20"/>
      <c r="G50" s="21" t="s">
        <v>66</v>
      </c>
      <c r="S50" s="15"/>
    </row>
    <row r="51" spans="1:23" hidden="1" x14ac:dyDescent="0.3">
      <c r="A51" s="22" t="s">
        <v>66</v>
      </c>
      <c r="B51" s="57" t="s">
        <v>158</v>
      </c>
      <c r="C51" s="78" t="s">
        <v>66</v>
      </c>
      <c r="D51" s="57"/>
      <c r="E51" s="58">
        <f>E47-'1. Calcul Avec prov'!K19</f>
        <v>3668.7311685274544</v>
      </c>
      <c r="F51" s="23"/>
      <c r="G51" s="24" t="s">
        <v>66</v>
      </c>
      <c r="W51" s="16"/>
    </row>
    <row r="52" spans="1:23" x14ac:dyDescent="0.3">
      <c r="A52" s="22"/>
      <c r="B52" s="22" t="s">
        <v>159</v>
      </c>
      <c r="C52" s="76">
        <f>'1. Calcul Avec prov'!J5</f>
        <v>18</v>
      </c>
      <c r="D52" s="62">
        <f>E52/C52</f>
        <v>5.4692826865925275</v>
      </c>
      <c r="E52" s="23">
        <f>E53-E47</f>
        <v>98.447088358665496</v>
      </c>
      <c r="F52" s="23"/>
      <c r="G52" s="24"/>
      <c r="W52" s="16"/>
    </row>
    <row r="53" spans="1:23" x14ac:dyDescent="0.3">
      <c r="A53" s="22"/>
      <c r="B53" s="36" t="s">
        <v>160</v>
      </c>
      <c r="C53" s="79">
        <f>'1. Calcul Avec prov'!J5</f>
        <v>18</v>
      </c>
      <c r="D53" s="61">
        <f>E53/C53</f>
        <v>233.51845442617878</v>
      </c>
      <c r="E53" s="37">
        <f>'2. Calcul Sans prov'!B9</f>
        <v>4203.332179671218</v>
      </c>
      <c r="F53" s="23"/>
      <c r="G53" s="24"/>
      <c r="W53" s="16"/>
    </row>
    <row r="54" spans="1:23" ht="28.8" x14ac:dyDescent="0.3">
      <c r="A54" s="22"/>
      <c r="B54" s="59" t="s">
        <v>161</v>
      </c>
      <c r="C54" s="79">
        <f>'1. Calcul Avec prov'!J5</f>
        <v>18</v>
      </c>
      <c r="D54" s="61">
        <f>E54/C54</f>
        <v>244.51845442617878</v>
      </c>
      <c r="E54" s="37">
        <f>E53+E48+E49</f>
        <v>4401.332179671218</v>
      </c>
      <c r="F54" s="23"/>
      <c r="G54" s="24"/>
    </row>
    <row r="55" spans="1:23" ht="33" customHeight="1" x14ac:dyDescent="0.3">
      <c r="G55" s="1"/>
    </row>
    <row r="56" spans="1:23" x14ac:dyDescent="0.3">
      <c r="B56" t="s">
        <v>162</v>
      </c>
      <c r="C56" s="11">
        <f>+E43/E10</f>
        <v>0.22909815303293918</v>
      </c>
      <c r="G56" s="1"/>
      <c r="K56" t="s">
        <v>163</v>
      </c>
    </row>
    <row r="57" spans="1:23" x14ac:dyDescent="0.3">
      <c r="B57" t="s">
        <v>164</v>
      </c>
      <c r="C57" s="11" t="e">
        <f>+G43/E10</f>
        <v>#REF!</v>
      </c>
      <c r="G57" s="1"/>
    </row>
    <row r="58" spans="1:23" ht="15" thickBot="1" x14ac:dyDescent="0.35"/>
    <row r="59" spans="1:23" ht="15" thickBot="1" x14ac:dyDescent="0.35">
      <c r="B59" s="27" t="s">
        <v>56</v>
      </c>
      <c r="C59" s="56">
        <f>E54/'1. Calcul Avec prov'!J6 *100</f>
        <v>48.903690885235754</v>
      </c>
    </row>
    <row r="62" spans="1:23" ht="15" thickBot="1" x14ac:dyDescent="0.35"/>
    <row r="63" spans="1:23" ht="31.5" customHeight="1" thickBot="1" x14ac:dyDescent="0.35">
      <c r="B63" s="208" t="s">
        <v>165</v>
      </c>
      <c r="C63" s="209"/>
      <c r="D63" s="209"/>
      <c r="E63" s="210"/>
    </row>
    <row r="64" spans="1:23" ht="27" customHeight="1" x14ac:dyDescent="0.3"/>
  </sheetData>
  <mergeCells count="5">
    <mergeCell ref="J21:K21"/>
    <mergeCell ref="L21:M21"/>
    <mergeCell ref="B63:E63"/>
    <mergeCell ref="A1:G1"/>
    <mergeCell ref="C3:G3"/>
  </mergeCells>
  <pageMargins left="0.7" right="0.24" top="0.75" bottom="0.75" header="0.3" footer="0.3"/>
  <pageSetup paperSize="9" fitToHeight="0" orientation="portrait" verticalDpi="0" r:id="rId1"/>
  <customProperties>
    <customPr name="OrphanNamesChecked" r:id="rId2"/>
  </customProperties>
  <tableParts count="2">
    <tablePart r:id="rId3"/>
    <tablePart r:id="rId4"/>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4">
    <tabColor rgb="FF00CC99"/>
  </sheetPr>
  <dimension ref="A1:X53"/>
  <sheetViews>
    <sheetView tabSelected="1" zoomScale="130" zoomScaleNormal="130" workbookViewId="0">
      <selection activeCell="B34" sqref="B34"/>
    </sheetView>
  </sheetViews>
  <sheetFormatPr baseColWidth="10" defaultColWidth="8.5546875" defaultRowHeight="14.4" x14ac:dyDescent="0.3"/>
  <cols>
    <col min="1" max="1" width="12.44140625" bestFit="1" customWidth="1"/>
    <col min="2" max="2" width="40.44140625" bestFit="1" customWidth="1"/>
    <col min="4" max="4" width="8.44140625" bestFit="1" customWidth="1"/>
    <col min="5" max="5" width="9" bestFit="1" customWidth="1"/>
    <col min="7" max="7" width="8.44140625" bestFit="1" customWidth="1"/>
    <col min="9" max="10" width="8.5546875" hidden="1" customWidth="1"/>
    <col min="11" max="11" width="34.5546875" hidden="1" customWidth="1"/>
    <col min="12" max="12" width="12" hidden="1" customWidth="1"/>
    <col min="13" max="13" width="12.5546875" hidden="1" customWidth="1"/>
    <col min="14" max="14" width="9.5546875" hidden="1" customWidth="1"/>
    <col min="15" max="15" width="12" hidden="1" customWidth="1"/>
    <col min="16" max="16" width="17" hidden="1" customWidth="1"/>
    <col min="17" max="17" width="11" hidden="1" customWidth="1"/>
    <col min="18" max="18" width="12" hidden="1" customWidth="1"/>
    <col min="19" max="19" width="12.5546875" hidden="1" customWidth="1"/>
    <col min="20" max="20" width="8.5546875" customWidth="1"/>
    <col min="21" max="21" width="26.5546875" bestFit="1" customWidth="1"/>
    <col min="22" max="22" width="14.5546875" customWidth="1"/>
  </cols>
  <sheetData>
    <row r="1" spans="1:24" ht="14.4" customHeight="1" x14ac:dyDescent="0.3">
      <c r="A1" s="211" t="s">
        <v>57</v>
      </c>
      <c r="B1" s="212"/>
      <c r="C1" s="212"/>
      <c r="D1" s="212"/>
      <c r="E1" s="212"/>
      <c r="F1" s="212"/>
      <c r="G1" s="212"/>
    </row>
    <row r="2" spans="1:24" x14ac:dyDescent="0.3">
      <c r="A2" t="s">
        <v>58</v>
      </c>
      <c r="B2" s="100">
        <v>11.88</v>
      </c>
      <c r="G2" s="1"/>
    </row>
    <row r="3" spans="1:24" ht="14.4" customHeight="1" x14ac:dyDescent="0.3">
      <c r="C3" s="211" t="s">
        <v>59</v>
      </c>
      <c r="D3" s="212"/>
      <c r="E3" s="212"/>
      <c r="F3" s="212"/>
      <c r="G3" s="213"/>
    </row>
    <row r="4" spans="1:24" ht="43.2" x14ac:dyDescent="0.3">
      <c r="A4" s="2" t="s">
        <v>60</v>
      </c>
      <c r="B4" s="2" t="s">
        <v>61</v>
      </c>
      <c r="C4" s="2" t="s">
        <v>62</v>
      </c>
      <c r="D4" s="2" t="s">
        <v>63</v>
      </c>
      <c r="E4" s="2" t="s">
        <v>64</v>
      </c>
      <c r="F4" s="2"/>
      <c r="G4" s="2"/>
    </row>
    <row r="5" spans="1:24" ht="14.4" customHeight="1" x14ac:dyDescent="0.3">
      <c r="A5" s="3"/>
      <c r="B5" s="8" t="s">
        <v>65</v>
      </c>
      <c r="C5" s="81">
        <f>'1. Calcul Avec prov'!J5</f>
        <v>18</v>
      </c>
      <c r="D5" s="60">
        <f>+E5/C5</f>
        <v>309.84137356232668</v>
      </c>
      <c r="E5" s="17">
        <f>'2. Calcul Sans prov'!B5</f>
        <v>5577.1447241218802</v>
      </c>
      <c r="F5" s="17"/>
      <c r="G5" s="8" t="s">
        <v>66</v>
      </c>
      <c r="U5" s="3" t="s">
        <v>178</v>
      </c>
      <c r="V5" s="4">
        <v>216</v>
      </c>
      <c r="W5" s="4"/>
      <c r="X5" s="5" t="s">
        <v>66</v>
      </c>
    </row>
    <row r="6" spans="1:24" ht="14.4" customHeight="1" x14ac:dyDescent="0.3">
      <c r="A6" s="3"/>
      <c r="B6" s="3" t="s">
        <v>67</v>
      </c>
      <c r="C6" s="80">
        <f>'1. Calcul Avec prov'!J5</f>
        <v>18</v>
      </c>
      <c r="D6" s="4">
        <f>(V11*0.85)/1.1/1.05</f>
        <v>132.46753246753246</v>
      </c>
      <c r="E6" s="4">
        <f>+C6*D6</f>
        <v>2384.4155844155844</v>
      </c>
      <c r="F6" s="4"/>
      <c r="G6" s="5"/>
      <c r="U6" s="3" t="s">
        <v>179</v>
      </c>
      <c r="V6" s="4">
        <v>3925</v>
      </c>
      <c r="W6" s="4"/>
      <c r="X6" s="5" t="s">
        <v>66</v>
      </c>
    </row>
    <row r="7" spans="1:24" ht="14.4" customHeight="1" x14ac:dyDescent="0.3">
      <c r="A7" s="3"/>
      <c r="B7" s="3" t="s">
        <v>68</v>
      </c>
      <c r="C7" s="80">
        <f>'1. Calcul Avec prov'!J5</f>
        <v>18</v>
      </c>
      <c r="D7" s="4">
        <f>(D5/1.1/1.05)-D6</f>
        <v>135.7933970236594</v>
      </c>
      <c r="E7" s="4">
        <f>+C7*D7</f>
        <v>2444.2811464258693</v>
      </c>
      <c r="F7" s="4"/>
      <c r="G7" s="5"/>
      <c r="U7" s="3" t="s">
        <v>69</v>
      </c>
      <c r="V7" s="4">
        <f>+IF(E10&gt;V6,V6,E10)</f>
        <v>3925</v>
      </c>
      <c r="W7" s="4"/>
      <c r="X7" s="5" t="s">
        <v>66</v>
      </c>
    </row>
    <row r="8" spans="1:24" ht="14.4" customHeight="1" x14ac:dyDescent="0.3">
      <c r="A8" s="3"/>
      <c r="B8" s="3" t="s">
        <v>70</v>
      </c>
      <c r="C8" s="80">
        <f>'1. Calcul Avec prov'!J5</f>
        <v>18</v>
      </c>
      <c r="D8" s="4">
        <f>(D6+D7)*0.05</f>
        <v>13.413046474559593</v>
      </c>
      <c r="E8" s="4">
        <f>+C8*D8</f>
        <v>241.43483654207267</v>
      </c>
      <c r="F8" s="4"/>
      <c r="G8" s="5"/>
      <c r="U8" s="3" t="s">
        <v>71</v>
      </c>
      <c r="V8" s="4">
        <f>IF($E$10&lt;$V$6,0,$E$10-$V$7)</f>
        <v>1652.1447241218784</v>
      </c>
      <c r="W8" s="4"/>
      <c r="X8" s="5" t="s">
        <v>66</v>
      </c>
    </row>
    <row r="9" spans="1:24" ht="14.4" customHeight="1" x14ac:dyDescent="0.3">
      <c r="A9" s="3"/>
      <c r="B9" s="3" t="s">
        <v>72</v>
      </c>
      <c r="C9" s="80">
        <f>'1. Calcul Avec prov'!J5</f>
        <v>18</v>
      </c>
      <c r="D9" s="4">
        <f>(D8+D6+D7)*0.1</f>
        <v>28.167397596575142</v>
      </c>
      <c r="E9" s="4">
        <f>+C9*D9</f>
        <v>507.01315673835256</v>
      </c>
      <c r="F9" s="4"/>
      <c r="G9" s="5"/>
      <c r="U9" s="3" t="s">
        <v>181</v>
      </c>
      <c r="V9" s="4">
        <f>151.67*B2*2.4242</f>
        <v>4368.0195583200002</v>
      </c>
      <c r="W9" s="4"/>
      <c r="X9" s="5" t="s">
        <v>66</v>
      </c>
    </row>
    <row r="10" spans="1:24" x14ac:dyDescent="0.3">
      <c r="A10" s="3"/>
      <c r="B10" s="8" t="s">
        <v>73</v>
      </c>
      <c r="C10" s="81">
        <f>'1. Calcul Avec prov'!J5</f>
        <v>18</v>
      </c>
      <c r="D10" s="60">
        <f>SUM(D6:D9)</f>
        <v>309.84137356232657</v>
      </c>
      <c r="E10" s="60">
        <f>SUM(E6:E9)</f>
        <v>5577.1447241218784</v>
      </c>
      <c r="F10" s="17"/>
      <c r="G10" s="8" t="s">
        <v>66</v>
      </c>
      <c r="U10" s="3" t="s">
        <v>176</v>
      </c>
      <c r="V10" s="4">
        <v>3269</v>
      </c>
      <c r="W10" s="4"/>
      <c r="X10" s="5" t="s">
        <v>66</v>
      </c>
    </row>
    <row r="11" spans="1:24" ht="36.6" x14ac:dyDescent="0.3">
      <c r="A11" s="69"/>
      <c r="B11" s="69"/>
      <c r="C11" s="70" t="s">
        <v>74</v>
      </c>
      <c r="D11" s="70" t="s">
        <v>75</v>
      </c>
      <c r="E11" s="70" t="s">
        <v>76</v>
      </c>
      <c r="F11" s="70" t="s">
        <v>77</v>
      </c>
      <c r="G11" s="70" t="s">
        <v>78</v>
      </c>
      <c r="K11" s="9" t="s">
        <v>166</v>
      </c>
      <c r="U11" s="3" t="s">
        <v>177</v>
      </c>
      <c r="V11" s="4">
        <v>180</v>
      </c>
      <c r="W11" s="4"/>
      <c r="X11" s="5" t="s">
        <v>66</v>
      </c>
    </row>
    <row r="12" spans="1:24" x14ac:dyDescent="0.3">
      <c r="A12" s="63" t="s">
        <v>79</v>
      </c>
      <c r="B12" s="63" t="s">
        <v>80</v>
      </c>
      <c r="C12" s="64">
        <f>+$E$10</f>
        <v>5577.1447241218784</v>
      </c>
      <c r="D12" s="65">
        <v>0</v>
      </c>
      <c r="E12" s="64">
        <f>+C12*D12</f>
        <v>0</v>
      </c>
      <c r="F12" s="65">
        <f>IF(C12&gt;V9,13%,7%)</f>
        <v>0.13</v>
      </c>
      <c r="G12" s="64">
        <f>+C12*F12</f>
        <v>725.02881413584419</v>
      </c>
      <c r="K12" s="9" t="s">
        <v>167</v>
      </c>
    </row>
    <row r="13" spans="1:24" x14ac:dyDescent="0.3">
      <c r="A13" s="63" t="s">
        <v>82</v>
      </c>
      <c r="B13" s="63" t="s">
        <v>83</v>
      </c>
      <c r="C13" s="64">
        <f>+$E$10</f>
        <v>5577.1447241218784</v>
      </c>
      <c r="D13" s="65">
        <v>0</v>
      </c>
      <c r="E13" s="64">
        <f t="shared" ref="E13:E35" si="0">+C13*D13</f>
        <v>0</v>
      </c>
      <c r="F13" s="65">
        <v>3.0000000000000001E-3</v>
      </c>
      <c r="G13" s="64">
        <f>+C13*F13</f>
        <v>16.731434172365635</v>
      </c>
      <c r="K13" s="10" t="s">
        <v>168</v>
      </c>
    </row>
    <row r="14" spans="1:24" x14ac:dyDescent="0.3">
      <c r="A14" s="63" t="s">
        <v>84</v>
      </c>
      <c r="B14" s="63" t="s">
        <v>85</v>
      </c>
      <c r="C14" s="64">
        <f>+$E$10</f>
        <v>5577.1447241218784</v>
      </c>
      <c r="D14" s="65">
        <v>4.0000000000000001E-3</v>
      </c>
      <c r="E14" s="64">
        <f t="shared" si="0"/>
        <v>22.308578896487514</v>
      </c>
      <c r="F14" s="65">
        <v>2.0199999999999999E-2</v>
      </c>
      <c r="G14" s="64">
        <f t="shared" ref="G14:G35" si="1">+C14*F14</f>
        <v>112.65832342726193</v>
      </c>
      <c r="K14" s="9">
        <v>353.82</v>
      </c>
    </row>
    <row r="15" spans="1:24" x14ac:dyDescent="0.3">
      <c r="A15" s="63" t="s">
        <v>86</v>
      </c>
      <c r="B15" s="63" t="s">
        <v>87</v>
      </c>
      <c r="C15" s="64">
        <f>+IF(E$10&lt;V$6,E$10,V$6)</f>
        <v>3925</v>
      </c>
      <c r="D15" s="65">
        <v>6.9000000000000006E-2</v>
      </c>
      <c r="E15" s="64">
        <f t="shared" si="0"/>
        <v>270.82500000000005</v>
      </c>
      <c r="F15" s="65">
        <v>8.5500000000000007E-2</v>
      </c>
      <c r="G15" s="64">
        <f t="shared" si="1"/>
        <v>335.58750000000003</v>
      </c>
      <c r="H15" s="11"/>
    </row>
    <row r="16" spans="1:24" x14ac:dyDescent="0.3">
      <c r="A16" s="63" t="s">
        <v>88</v>
      </c>
      <c r="B16" s="63" t="s">
        <v>89</v>
      </c>
      <c r="C16" s="64">
        <f>+$E$10</f>
        <v>5577.1447241218784</v>
      </c>
      <c r="D16" s="65">
        <v>0</v>
      </c>
      <c r="E16" s="64">
        <f t="shared" si="0"/>
        <v>0</v>
      </c>
      <c r="F16" s="65">
        <v>3.4500000000000003E-2</v>
      </c>
      <c r="G16" s="64">
        <f t="shared" si="1"/>
        <v>192.41149298220483</v>
      </c>
      <c r="H16" s="11"/>
    </row>
    <row r="17" spans="1:8" x14ac:dyDescent="0.3">
      <c r="A17" s="63" t="s">
        <v>90</v>
      </c>
      <c r="B17" s="63" t="s">
        <v>91</v>
      </c>
      <c r="C17" s="64">
        <f>+$E$10</f>
        <v>5577.1447241218784</v>
      </c>
      <c r="D17" s="65">
        <v>0</v>
      </c>
      <c r="E17" s="64">
        <f t="shared" si="0"/>
        <v>0</v>
      </c>
      <c r="F17" s="65">
        <v>4.5999999999999999E-3</v>
      </c>
      <c r="G17" s="64">
        <f t="shared" si="1"/>
        <v>25.65486573096064</v>
      </c>
      <c r="H17" s="11"/>
    </row>
    <row r="18" spans="1:8" x14ac:dyDescent="0.3">
      <c r="A18" s="63" t="s">
        <v>92</v>
      </c>
      <c r="B18" s="63" t="s">
        <v>169</v>
      </c>
      <c r="C18" s="64">
        <f>+$E$10</f>
        <v>5577.1447241218784</v>
      </c>
      <c r="D18" s="65">
        <v>0</v>
      </c>
      <c r="E18" s="64">
        <f t="shared" si="0"/>
        <v>0</v>
      </c>
      <c r="F18" s="65">
        <v>5.0000000000000001E-3</v>
      </c>
      <c r="G18" s="64">
        <f t="shared" si="1"/>
        <v>27.885723620609394</v>
      </c>
      <c r="H18" s="11"/>
    </row>
    <row r="19" spans="1:8" x14ac:dyDescent="0.3">
      <c r="A19" s="63" t="s">
        <v>95</v>
      </c>
      <c r="B19" s="63" t="s">
        <v>96</v>
      </c>
      <c r="C19" s="64">
        <f>+V$7+V$8</f>
        <v>5577.1447241218784</v>
      </c>
      <c r="D19" s="65">
        <v>0</v>
      </c>
      <c r="E19" s="64">
        <f>+C19*D19</f>
        <v>0</v>
      </c>
      <c r="F19" s="65">
        <v>4.0500000000000001E-2</v>
      </c>
      <c r="G19" s="64">
        <f>+F19*C19</f>
        <v>225.87436132693608</v>
      </c>
    </row>
    <row r="20" spans="1:8" x14ac:dyDescent="0.3">
      <c r="A20" s="63" t="s">
        <v>97</v>
      </c>
      <c r="B20" s="63" t="s">
        <v>98</v>
      </c>
      <c r="C20" s="64">
        <f>+C19</f>
        <v>5577.1447241218784</v>
      </c>
      <c r="D20" s="65">
        <v>0</v>
      </c>
      <c r="E20" s="64">
        <f>+C20*D20</f>
        <v>0</v>
      </c>
      <c r="F20" s="65">
        <v>2.5000000000000001E-3</v>
      </c>
      <c r="G20" s="64">
        <f>+F20*C20</f>
        <v>13.942861810304697</v>
      </c>
    </row>
    <row r="21" spans="1:8" x14ac:dyDescent="0.3">
      <c r="A21" s="63" t="s">
        <v>99</v>
      </c>
      <c r="B21" s="63" t="s">
        <v>100</v>
      </c>
      <c r="C21" s="64">
        <f>+C15</f>
        <v>3925</v>
      </c>
      <c r="D21" s="65">
        <v>3.15E-2</v>
      </c>
      <c r="E21" s="64">
        <f t="shared" si="0"/>
        <v>123.6375</v>
      </c>
      <c r="F21" s="65">
        <v>4.7199999999999999E-2</v>
      </c>
      <c r="G21" s="64">
        <f t="shared" si="1"/>
        <v>185.26</v>
      </c>
    </row>
    <row r="22" spans="1:8" x14ac:dyDescent="0.3">
      <c r="A22" s="63" t="s">
        <v>103</v>
      </c>
      <c r="B22" s="63" t="s">
        <v>104</v>
      </c>
      <c r="C22" s="64">
        <f>+C20-C21</f>
        <v>1652.1447241218784</v>
      </c>
      <c r="D22" s="65">
        <v>8.6400000000000005E-2</v>
      </c>
      <c r="E22" s="64">
        <f>+C22*D22</f>
        <v>142.74530416413032</v>
      </c>
      <c r="F22" s="65">
        <v>0.1295</v>
      </c>
      <c r="G22" s="64">
        <f>+C22*F22</f>
        <v>213.95274177378326</v>
      </c>
    </row>
    <row r="23" spans="1:8" x14ac:dyDescent="0.3">
      <c r="A23" s="63" t="s">
        <v>110</v>
      </c>
      <c r="B23" s="63" t="s">
        <v>111</v>
      </c>
      <c r="C23" s="64">
        <f>+IF(E$10&lt;V$6,0,E$10)</f>
        <v>5577.1447241218784</v>
      </c>
      <c r="D23" s="65">
        <v>1.4E-3</v>
      </c>
      <c r="E23" s="64">
        <f>+C23*D23</f>
        <v>7.80800261377063</v>
      </c>
      <c r="F23" s="65">
        <v>2.0999999999999999E-3</v>
      </c>
      <c r="G23" s="64">
        <f>+C23*F23</f>
        <v>11.712003920655944</v>
      </c>
    </row>
    <row r="24" spans="1:8" x14ac:dyDescent="0.3">
      <c r="A24" s="63" t="s">
        <v>113</v>
      </c>
      <c r="B24" s="63" t="s">
        <v>114</v>
      </c>
      <c r="C24" s="64">
        <f>+C15</f>
        <v>3925</v>
      </c>
      <c r="D24" s="65">
        <v>8.6E-3</v>
      </c>
      <c r="E24" s="64">
        <f>+C24*D24</f>
        <v>33.755000000000003</v>
      </c>
      <c r="F24" s="65">
        <v>1.29E-2</v>
      </c>
      <c r="G24" s="64">
        <f>+C24*F24</f>
        <v>50.6325</v>
      </c>
    </row>
    <row r="25" spans="1:8" x14ac:dyDescent="0.3">
      <c r="A25" s="63" t="s">
        <v>113</v>
      </c>
      <c r="B25" s="63" t="s">
        <v>116</v>
      </c>
      <c r="C25" s="64">
        <f>+IF(E$10&lt;V$6,0,(E$10-V$6))</f>
        <v>1652.1447241218784</v>
      </c>
      <c r="D25" s="65">
        <v>1.0800000000000001E-2</v>
      </c>
      <c r="E25" s="64">
        <f>+C25*D25</f>
        <v>17.84316302051629</v>
      </c>
      <c r="F25" s="65">
        <v>1.6199999999999999E-2</v>
      </c>
      <c r="G25" s="64">
        <f>+C25*F25</f>
        <v>26.764744530774429</v>
      </c>
    </row>
    <row r="26" spans="1:8" x14ac:dyDescent="0.3">
      <c r="A26" s="63" t="s">
        <v>118</v>
      </c>
      <c r="B26" s="63" t="s">
        <v>119</v>
      </c>
      <c r="C26" s="64">
        <f>+C20</f>
        <v>5577.1447241218784</v>
      </c>
      <c r="D26" s="65">
        <v>2.4000000000000001E-4</v>
      </c>
      <c r="E26" s="64">
        <f t="shared" si="0"/>
        <v>1.3385147337892509</v>
      </c>
      <c r="F26" s="65">
        <v>3.6000000000000002E-4</v>
      </c>
      <c r="G26" s="64">
        <f t="shared" si="1"/>
        <v>2.0077721006838765</v>
      </c>
    </row>
    <row r="27" spans="1:8" ht="15" customHeight="1" x14ac:dyDescent="0.3">
      <c r="A27" s="63" t="s">
        <v>121</v>
      </c>
      <c r="B27" s="63" t="s">
        <v>122</v>
      </c>
      <c r="C27" s="64">
        <f>+C24</f>
        <v>3925</v>
      </c>
      <c r="D27" s="65">
        <v>0</v>
      </c>
      <c r="E27" s="64">
        <f t="shared" si="0"/>
        <v>0</v>
      </c>
      <c r="F27" s="65">
        <v>7.0000000000000001E-3</v>
      </c>
      <c r="G27" s="64">
        <f t="shared" si="1"/>
        <v>27.475000000000001</v>
      </c>
    </row>
    <row r="28" spans="1:8" x14ac:dyDescent="0.3">
      <c r="A28" s="63" t="s">
        <v>124</v>
      </c>
      <c r="B28" s="63" t="s">
        <v>125</v>
      </c>
      <c r="C28" s="64">
        <f>+IF(E$10&lt;V$6,0,(E$10-V$6))</f>
        <v>1652.1447241218784</v>
      </c>
      <c r="D28" s="65">
        <v>3.5999999999999999E-3</v>
      </c>
      <c r="E28" s="64">
        <f t="shared" si="0"/>
        <v>5.947721006838762</v>
      </c>
      <c r="F28" s="65">
        <v>3.5999999999999999E-3</v>
      </c>
      <c r="G28" s="64">
        <f t="shared" si="1"/>
        <v>5.947721006838762</v>
      </c>
    </row>
    <row r="29" spans="1:8" x14ac:dyDescent="0.3">
      <c r="A29" s="63" t="s">
        <v>127</v>
      </c>
      <c r="B29" s="63" t="s">
        <v>128</v>
      </c>
      <c r="C29" s="64">
        <f>+V6</f>
        <v>3925</v>
      </c>
      <c r="D29" s="65"/>
      <c r="E29" s="64">
        <f>IF('1. Calcul Avec prov'!J17="Oui",'1. Calcul Avec prov'!M17,0)</f>
        <v>30.4</v>
      </c>
      <c r="F29" s="65"/>
      <c r="G29" s="64">
        <f>IF('1. Calcul Avec prov'!J17="Oui",45.6,0)</f>
        <v>45.6</v>
      </c>
    </row>
    <row r="30" spans="1:8" x14ac:dyDescent="0.3">
      <c r="A30" s="63"/>
      <c r="B30" s="63" t="s">
        <v>182</v>
      </c>
      <c r="C30" s="64"/>
      <c r="D30" s="65"/>
      <c r="E30" s="64">
        <f>G27+G28+G29</f>
        <v>79.022721006838765</v>
      </c>
      <c r="F30" s="65">
        <v>0.08</v>
      </c>
      <c r="G30" s="64">
        <f>+E30*F30</f>
        <v>6.3218176805471016</v>
      </c>
    </row>
    <row r="31" spans="1:8" x14ac:dyDescent="0.3">
      <c r="A31" s="63" t="s">
        <v>129</v>
      </c>
      <c r="B31" s="63" t="s">
        <v>130</v>
      </c>
      <c r="C31" s="64">
        <f>+E10</f>
        <v>5577.1447241218784</v>
      </c>
      <c r="D31" s="65">
        <v>0</v>
      </c>
      <c r="E31" s="64">
        <f>+C31*D31</f>
        <v>0</v>
      </c>
      <c r="F31" s="65">
        <v>1.6000000000000001E-4</v>
      </c>
      <c r="G31" s="64">
        <f>+C31*F31</f>
        <v>0.89234315585950064</v>
      </c>
    </row>
    <row r="32" spans="1:8" x14ac:dyDescent="0.3">
      <c r="A32" s="63" t="s">
        <v>132</v>
      </c>
      <c r="B32" s="63" t="s">
        <v>133</v>
      </c>
      <c r="C32" s="64">
        <f>+E10</f>
        <v>5577.1447241218784</v>
      </c>
      <c r="D32" s="65">
        <v>0</v>
      </c>
      <c r="E32" s="64">
        <f>+C32*D32</f>
        <v>0</v>
      </c>
      <c r="F32" s="65">
        <v>6.7999999999999996E-3</v>
      </c>
      <c r="G32" s="64">
        <f>+C32*F32</f>
        <v>37.924584124028769</v>
      </c>
    </row>
    <row r="33" spans="1:12" ht="15" x14ac:dyDescent="0.35">
      <c r="A33" s="63" t="s">
        <v>134</v>
      </c>
      <c r="B33" s="63" t="s">
        <v>135</v>
      </c>
      <c r="C33" s="64">
        <f>+E10</f>
        <v>5577.1447241218784</v>
      </c>
      <c r="D33" s="65">
        <v>0</v>
      </c>
      <c r="E33" s="64">
        <f>+C33*D33</f>
        <v>0</v>
      </c>
      <c r="F33" s="65">
        <v>1E-4</v>
      </c>
      <c r="G33" s="64">
        <f>+C33*F33</f>
        <v>0.55771447241218786</v>
      </c>
      <c r="K33" s="12" t="s">
        <v>32</v>
      </c>
      <c r="L33" s="12" t="s">
        <v>131</v>
      </c>
    </row>
    <row r="34" spans="1:12" x14ac:dyDescent="0.3">
      <c r="A34" s="63" t="s">
        <v>136</v>
      </c>
      <c r="B34" s="63" t="s">
        <v>137</v>
      </c>
      <c r="C34" s="64">
        <f>E10</f>
        <v>5577.1447241218784</v>
      </c>
      <c r="D34" s="65">
        <v>0</v>
      </c>
      <c r="E34" s="64">
        <f>+C34*D34</f>
        <v>0</v>
      </c>
      <c r="F34" s="65">
        <v>4.0000000000000002E-4</v>
      </c>
      <c r="G34" s="64">
        <f>+C34*F34</f>
        <v>2.2308578896487514</v>
      </c>
      <c r="K34" s="93" t="s">
        <v>33</v>
      </c>
      <c r="L34" s="93">
        <f>$V$6*$D29</f>
        <v>0</v>
      </c>
    </row>
    <row r="35" spans="1:12" x14ac:dyDescent="0.3">
      <c r="A35" s="63" t="s">
        <v>138</v>
      </c>
      <c r="B35" s="63" t="s">
        <v>139</v>
      </c>
      <c r="C35" s="64">
        <f>+E10</f>
        <v>5577.1447241218784</v>
      </c>
      <c r="D35" s="65">
        <v>0</v>
      </c>
      <c r="E35" s="64">
        <f t="shared" si="0"/>
        <v>0</v>
      </c>
      <c r="F35" s="65">
        <v>1.6E-2</v>
      </c>
      <c r="G35" s="64">
        <f t="shared" si="1"/>
        <v>89.234315585950057</v>
      </c>
      <c r="K35" s="93" t="s">
        <v>112</v>
      </c>
      <c r="L35" s="93"/>
    </row>
    <row r="36" spans="1:12" x14ac:dyDescent="0.3">
      <c r="A36" s="63" t="s">
        <v>170</v>
      </c>
      <c r="B36" s="63" t="s">
        <v>140</v>
      </c>
      <c r="C36" s="64">
        <f>+E10</f>
        <v>5577.1447241218784</v>
      </c>
      <c r="D36" s="65">
        <v>0</v>
      </c>
      <c r="E36" s="64">
        <f>+C36*D36</f>
        <v>0</v>
      </c>
      <c r="F36" s="65">
        <f>0.45%</f>
        <v>4.5000000000000005E-3</v>
      </c>
      <c r="G36" s="64">
        <f>+C36*F36</f>
        <v>25.097151258548458</v>
      </c>
    </row>
    <row r="37" spans="1:12" x14ac:dyDescent="0.3">
      <c r="A37" s="63"/>
      <c r="B37" s="63" t="s">
        <v>141</v>
      </c>
      <c r="C37" s="64">
        <f>E10</f>
        <v>5577.1447241218784</v>
      </c>
      <c r="D37" s="65">
        <v>0</v>
      </c>
      <c r="E37" s="64">
        <f t="shared" ref="E37" si="2">+C37*D37</f>
        <v>0</v>
      </c>
      <c r="F37" s="65" t="e">
        <f>tx_taxe_transport/100</f>
        <v>#REF!</v>
      </c>
      <c r="G37" s="64" t="e">
        <f t="shared" ref="G37" si="3">+C37*F37</f>
        <v>#REF!</v>
      </c>
      <c r="H37" t="s">
        <v>180</v>
      </c>
    </row>
    <row r="38" spans="1:12" x14ac:dyDescent="0.3">
      <c r="A38" s="63" t="s">
        <v>142</v>
      </c>
      <c r="B38" s="63" t="s">
        <v>143</v>
      </c>
      <c r="C38" s="64">
        <f>IF(($E$10/151.67)&gt;(B2*3.3636),$E$10,0)</f>
        <v>0</v>
      </c>
      <c r="D38" s="65">
        <v>0</v>
      </c>
      <c r="E38" s="64">
        <f>+C38*D38</f>
        <v>0</v>
      </c>
      <c r="F38" s="65">
        <v>1.7999999999999999E-2</v>
      </c>
      <c r="G38" s="64">
        <f>+C38*F38</f>
        <v>0</v>
      </c>
    </row>
    <row r="39" spans="1:12" x14ac:dyDescent="0.3">
      <c r="A39" s="63" t="s">
        <v>144</v>
      </c>
      <c r="B39" s="63" t="s">
        <v>145</v>
      </c>
      <c r="C39" s="64">
        <f>+C40</f>
        <v>5558.5674124565849</v>
      </c>
      <c r="D39" s="65">
        <v>2.9000000000000001E-2</v>
      </c>
      <c r="E39" s="64">
        <f>+C39*D39</f>
        <v>161.19845496124097</v>
      </c>
      <c r="F39" s="65">
        <v>0</v>
      </c>
      <c r="G39" s="64">
        <f>+C39*F39</f>
        <v>0</v>
      </c>
    </row>
    <row r="40" spans="1:12" x14ac:dyDescent="0.3">
      <c r="A40" s="63" t="s">
        <v>146</v>
      </c>
      <c r="B40" s="63" t="s">
        <v>147</v>
      </c>
      <c r="C40" s="64">
        <f>+($E$10-($E$10*1.75%))+$G$27+$G$28+$G$29</f>
        <v>5558.5674124565849</v>
      </c>
      <c r="D40" s="65">
        <v>6.8000000000000005E-2</v>
      </c>
      <c r="E40" s="64">
        <f>+C40*D40</f>
        <v>377.98258404704779</v>
      </c>
      <c r="F40" s="65">
        <v>0</v>
      </c>
      <c r="G40" s="64">
        <f>+C40*F40</f>
        <v>0</v>
      </c>
    </row>
    <row r="41" spans="1:12" x14ac:dyDescent="0.3">
      <c r="A41" s="6" t="s">
        <v>66</v>
      </c>
      <c r="B41" s="6" t="s">
        <v>148</v>
      </c>
      <c r="C41" s="6" t="s">
        <v>66</v>
      </c>
      <c r="D41" s="6"/>
      <c r="E41" s="7">
        <f>SUM(E12:E40)-E39</f>
        <v>1113.6140894894193</v>
      </c>
      <c r="F41" s="7"/>
      <c r="G41" s="17"/>
    </row>
    <row r="42" spans="1:12" x14ac:dyDescent="0.3">
      <c r="A42" s="6" t="s">
        <v>66</v>
      </c>
      <c r="B42" s="6" t="s">
        <v>149</v>
      </c>
      <c r="C42" s="6" t="s">
        <v>66</v>
      </c>
      <c r="D42" s="6"/>
      <c r="E42" s="7">
        <f>+E39</f>
        <v>161.19845496124097</v>
      </c>
      <c r="F42" s="7"/>
      <c r="G42" s="8" t="s">
        <v>66</v>
      </c>
    </row>
    <row r="43" spans="1:12" x14ac:dyDescent="0.3">
      <c r="A43" s="6" t="s">
        <v>66</v>
      </c>
      <c r="B43" s="6" t="s">
        <v>150</v>
      </c>
      <c r="C43" s="6" t="s">
        <v>66</v>
      </c>
      <c r="D43" s="6"/>
      <c r="E43" s="7">
        <f>E41+E42</f>
        <v>1274.8125444506602</v>
      </c>
      <c r="F43" s="18"/>
      <c r="G43" s="17" t="e">
        <f>SUM(G12:G40)</f>
        <v>#REF!</v>
      </c>
      <c r="H43" s="102" t="e">
        <f>G43/E10</f>
        <v>#REF!</v>
      </c>
    </row>
    <row r="44" spans="1:12" x14ac:dyDescent="0.3">
      <c r="A44" s="19" t="s">
        <v>66</v>
      </c>
      <c r="B44" s="19" t="s">
        <v>171</v>
      </c>
      <c r="C44" s="19" t="s">
        <v>66</v>
      </c>
      <c r="D44" s="19"/>
      <c r="E44" s="20">
        <f>+E10-E43+E42</f>
        <v>4463.5306346324587</v>
      </c>
      <c r="F44" s="20"/>
      <c r="G44" s="21" t="s">
        <v>66</v>
      </c>
    </row>
    <row r="45" spans="1:12" x14ac:dyDescent="0.3">
      <c r="A45" s="22" t="s">
        <v>66</v>
      </c>
      <c r="B45" s="22" t="s">
        <v>154</v>
      </c>
      <c r="C45" s="22" t="s">
        <v>66</v>
      </c>
      <c r="D45" s="22"/>
      <c r="E45" s="23">
        <f>E10-E43-'1. Calcul Avec prov'!J13</f>
        <v>4203.332179671218</v>
      </c>
      <c r="F45" s="23"/>
      <c r="G45" s="24" t="s">
        <v>66</v>
      </c>
    </row>
    <row r="46" spans="1:12" x14ac:dyDescent="0.3">
      <c r="A46" s="22"/>
      <c r="B46" s="22" t="s">
        <v>172</v>
      </c>
      <c r="C46" s="22"/>
      <c r="D46" s="22"/>
      <c r="E46" s="23">
        <f>E45+'2. Calcul Sans prov'!J11</f>
        <v>4203.332179671218</v>
      </c>
      <c r="F46" s="23"/>
      <c r="G46" s="24"/>
    </row>
    <row r="47" spans="1:12" x14ac:dyDescent="0.3">
      <c r="A47" s="19" t="s">
        <v>66</v>
      </c>
      <c r="B47" s="19" t="s">
        <v>173</v>
      </c>
      <c r="C47" s="19" t="s">
        <v>66</v>
      </c>
      <c r="D47" s="19"/>
      <c r="E47" s="20" t="e">
        <f>+E10+G43</f>
        <v>#REF!</v>
      </c>
      <c r="F47" s="20"/>
      <c r="G47" s="21" t="s">
        <v>66</v>
      </c>
    </row>
    <row r="48" spans="1:12" x14ac:dyDescent="0.3">
      <c r="A48" s="22" t="s">
        <v>66</v>
      </c>
      <c r="B48" s="22" t="s">
        <v>158</v>
      </c>
      <c r="C48" s="22" t="s">
        <v>66</v>
      </c>
      <c r="D48" s="22"/>
      <c r="E48" s="23">
        <f>E45-'2. Calcul Sans prov'!K18</f>
        <v>3782.998961704096</v>
      </c>
      <c r="F48" s="23"/>
      <c r="G48" s="24" t="s">
        <v>66</v>
      </c>
    </row>
    <row r="49" spans="2:11" x14ac:dyDescent="0.3">
      <c r="G49" s="1"/>
    </row>
    <row r="50" spans="2:11" hidden="1" x14ac:dyDescent="0.3">
      <c r="B50" t="s">
        <v>162</v>
      </c>
      <c r="C50" s="11">
        <f>+E43/E10</f>
        <v>0.22857799241553292</v>
      </c>
      <c r="G50" s="1"/>
    </row>
    <row r="51" spans="2:11" x14ac:dyDescent="0.3">
      <c r="B51" t="s">
        <v>164</v>
      </c>
      <c r="C51" s="11" t="e">
        <f>+G43/E10</f>
        <v>#REF!</v>
      </c>
      <c r="G51" s="1"/>
      <c r="K51" t="s">
        <v>174</v>
      </c>
    </row>
    <row r="52" spans="2:11" x14ac:dyDescent="0.3">
      <c r="K52" t="s">
        <v>175</v>
      </c>
    </row>
    <row r="53" spans="2:11" x14ac:dyDescent="0.3">
      <c r="K53" t="s">
        <v>163</v>
      </c>
    </row>
  </sheetData>
  <mergeCells count="2">
    <mergeCell ref="A1:G1"/>
    <mergeCell ref="C3:G3"/>
  </mergeCells>
  <phoneticPr fontId="47" type="noConversion"/>
  <pageMargins left="0.7" right="0.7" top="0.75" bottom="0.75" header="0.3" footer="0.3"/>
  <customProperties>
    <customPr name="OrphanNamesChecked" r:id="rId1"/>
  </customPropertie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ct:contentTypeSchema xmlns:ct="http://schemas.microsoft.com/office/2006/metadata/contentType" xmlns:ma="http://schemas.microsoft.com/office/2006/metadata/properties/metaAttributes" ct:_="" ma:_="" ma:contentTypeName="BDO_Project_Document" ma:contentTypeID="0x01010078E595C6EB318341B7D7061AFAFF23BD0200186A38CF2AD8034DBECF4ECE7CB93DCC" ma:contentTypeVersion="24" ma:contentTypeDescription="Crée un document." ma:contentTypeScope="" ma:versionID="63af90c4b14fc549205454070e07a8e8">
  <xsd:schema xmlns:xsd="http://www.w3.org/2001/XMLSchema" xmlns:xs="http://www.w3.org/2001/XMLSchema" xmlns:p="http://schemas.microsoft.com/office/2006/metadata/properties" xmlns:ns2="0220b7ec-074b-4483-a194-4c74a058e440" xmlns:ns3="1d06146d-98bb-41f9-ab1a-602730092ad5" xmlns:ns4="7B1FB819-5CB1-4A45-976D-9AD03BC06F20" xmlns:ns5="B89A7DF0-95E9-4F2D-8FCD-5CCD1FFF9BC1" xmlns:ns6="cf0a1d4c-b86d-4d81-b8f4-e2a5edb38bfd" targetNamespace="http://schemas.microsoft.com/office/2006/metadata/properties" ma:root="true" ma:fieldsID="afb3e84d110128ede1732aec90bb8073" ns2:_="" ns3:_="" ns4:_="" ns5:_="" ns6:_="">
    <xsd:import namespace="0220b7ec-074b-4483-a194-4c74a058e440"/>
    <xsd:import namespace="1d06146d-98bb-41f9-ab1a-602730092ad5"/>
    <xsd:import namespace="7B1FB819-5CB1-4A45-976D-9AD03BC06F20"/>
    <xsd:import namespace="B89A7DF0-95E9-4F2D-8FCD-5CCD1FFF9BC1"/>
    <xsd:import namespace="cf0a1d4c-b86d-4d81-b8f4-e2a5edb38bfd"/>
    <xsd:element name="properties">
      <xsd:complexType>
        <xsd:sequence>
          <xsd:element name="documentManagement">
            <xsd:complexType>
              <xsd:all>
                <xsd:element ref="ns2:gpdocumentapprovalstatus" minOccurs="0"/>
                <xsd:element ref="ns3:gpapprovalby" minOccurs="0"/>
                <xsd:element ref="ns3:gpapprovalcomments" minOccurs="0"/>
                <xsd:element ref="ns3:gpUploadStatus" minOccurs="0"/>
                <xsd:element ref="ns4:gprequestapproval" minOccurs="0"/>
                <xsd:element ref="ns5:gprequestsignature" minOccurs="0"/>
                <xsd:element ref="ns3:gpreadonly" minOccurs="0"/>
                <xsd:element ref="ns3:gprestricted" minOccurs="0"/>
                <xsd:element ref="ns6:MediaServiceMetadata" minOccurs="0"/>
                <xsd:element ref="ns6:MediaServiceFastMetadata" minOccurs="0"/>
                <xsd:element ref="ns6:MediaServiceObjectDetectorVersions" minOccurs="0"/>
                <xsd:element ref="ns6:MediaServiceSearchPropertie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0220b7ec-074b-4483-a194-4c74a058e440" elementFormDefault="qualified">
    <xsd:import namespace="http://schemas.microsoft.com/office/2006/documentManagement/types"/>
    <xsd:import namespace="http://schemas.microsoft.com/office/infopath/2007/PartnerControls"/>
    <xsd:element name="gpdocumentapprovalstatus" ma:index="8" nillable="true" ma:displayName="Approval status" ma:format="Dropdown" ma:internalName="gpdocumentapprovalstatus" ma:readOnly="false">
      <xsd:simpleType>
        <xsd:restriction base="dms:Choice">
          <xsd:enumeration value="Pending"/>
          <xsd:enumeration value="Approved"/>
          <xsd:enumeration value="Rejected"/>
        </xsd:restriction>
      </xsd:simpleType>
    </xsd:element>
  </xsd:schema>
  <xsd:schema xmlns:xsd="http://www.w3.org/2001/XMLSchema" xmlns:xs="http://www.w3.org/2001/XMLSchema" xmlns:dms="http://schemas.microsoft.com/office/2006/documentManagement/types" xmlns:pc="http://schemas.microsoft.com/office/infopath/2007/PartnerControls" targetNamespace="1d06146d-98bb-41f9-ab1a-602730092ad5" elementFormDefault="qualified">
    <xsd:import namespace="http://schemas.microsoft.com/office/2006/documentManagement/types"/>
    <xsd:import namespace="http://schemas.microsoft.com/office/infopath/2007/PartnerControls"/>
    <xsd:element name="gpapprovalby" ma:index="9" nillable="true" ma:displayName="Approval By" ma:list="UserInfo" ma:SharePointGroup="0" ma:internalName="gpapprovalby" ma:readOnly="false" ma:showField="ImnName">
      <xsd:complexType>
        <xsd:complexContent>
          <xsd:extension base="dms:User">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gpapprovalcomments" ma:index="10" nillable="true" ma:displayName="Approval Comments" ma:internalName="gpapprovalcomments" ma:readOnly="false">
      <xsd:simpleType>
        <xsd:restriction base="dms:Note">
          <xsd:maxLength value="255"/>
        </xsd:restriction>
      </xsd:simpleType>
    </xsd:element>
    <xsd:element name="gpUploadStatus" ma:index="11" nillable="true" ma:displayName="UploadStatus" ma:default="Completed" ma:format="Dropdown" ma:internalName="gpUploadStatus" ma:readOnly="false">
      <xsd:simpleType>
        <xsd:restriction base="dms:Choice">
          <xsd:enumeration value="Completed"/>
          <xsd:enumeration value="InProgress"/>
        </xsd:restriction>
      </xsd:simpleType>
    </xsd:element>
    <xsd:element name="gpreadonly" ma:index="14" nillable="true" ma:displayName="Read only" ma:default="0" ma:indexed="true" ma:internalName="gpreadonly" ma:readOnly="false">
      <xsd:simpleType>
        <xsd:restriction base="dms:Boolean"/>
      </xsd:simpleType>
    </xsd:element>
    <xsd:element name="gprestricted" ma:index="15" nillable="true" ma:displayName="Restricted" ma:default="0" ma:indexed="true" ma:internalName="gprestricted" ma:readOnly="false">
      <xsd:simpleType>
        <xsd:restriction base="dms:Boolean"/>
      </xsd:simpleType>
    </xsd:element>
  </xsd:schema>
  <xsd:schema xmlns:xsd="http://www.w3.org/2001/XMLSchema" xmlns:xs="http://www.w3.org/2001/XMLSchema" xmlns:dms="http://schemas.microsoft.com/office/2006/documentManagement/types" xmlns:pc="http://schemas.microsoft.com/office/infopath/2007/PartnerControls" targetNamespace="7B1FB819-5CB1-4A45-976D-9AD03BC06F20" elementFormDefault="qualified">
    <xsd:import namespace="http://schemas.microsoft.com/office/2006/documentManagement/types"/>
    <xsd:import namespace="http://schemas.microsoft.com/office/infopath/2007/PartnerControls"/>
    <xsd:element name="gprequestapproval" ma:index="12" nillable="true" ma:displayName="Request Approval" ma:format="Dropdown" ma:internalName="gprequestapproval" ma:readOnly="false">
      <xsd:simpleType>
        <xsd:restriction base="dms:Choice">
          <xsd:enumeration value="In Progress"/>
          <xsd:enumeration value="Approved"/>
          <xsd:enumeration value="Rejected"/>
          <xsd:enumeration value="Cancelled"/>
        </xsd:restriction>
      </xsd:simpleType>
    </xsd:element>
  </xsd:schema>
  <xsd:schema xmlns:xsd="http://www.w3.org/2001/XMLSchema" xmlns:xs="http://www.w3.org/2001/XMLSchema" xmlns:dms="http://schemas.microsoft.com/office/2006/documentManagement/types" xmlns:pc="http://schemas.microsoft.com/office/infopath/2007/PartnerControls" targetNamespace="B89A7DF0-95E9-4F2D-8FCD-5CCD1FFF9BC1" elementFormDefault="qualified">
    <xsd:import namespace="http://schemas.microsoft.com/office/2006/documentManagement/types"/>
    <xsd:import namespace="http://schemas.microsoft.com/office/infopath/2007/PartnerControls"/>
    <xsd:element name="gprequestsignature" ma:index="13" nillable="true" ma:displayName="Request Signature" ma:format="Dropdown" ma:internalName="gprequestsignature" ma:readOnly="false">
      <xsd:simpleType>
        <xsd:restriction base="dms:Choice">
          <xsd:enumeration value="In Progress"/>
          <xsd:enumeration value="Signed"/>
          <xsd:enumeration value="Declined"/>
          <xsd:enumeration value="Cancelled"/>
        </xsd:restriction>
      </xsd:simpleType>
    </xsd:element>
  </xsd:schema>
  <xsd:schema xmlns:xsd="http://www.w3.org/2001/XMLSchema" xmlns:xs="http://www.w3.org/2001/XMLSchema" xmlns:dms="http://schemas.microsoft.com/office/2006/documentManagement/types" xmlns:pc="http://schemas.microsoft.com/office/infopath/2007/PartnerControls" targetNamespace="cf0a1d4c-b86d-4d81-b8f4-e2a5edb38bfd" elementFormDefault="qualified">
    <xsd:import namespace="http://schemas.microsoft.com/office/2006/documentManagement/types"/>
    <xsd:import namespace="http://schemas.microsoft.com/office/infopath/2007/PartnerControls"/>
    <xsd:element name="MediaServiceMetadata" ma:index="16" nillable="true" ma:displayName="MediaServiceMetadata" ma:hidden="true" ma:internalName="MediaServiceMetadata" ma:readOnly="true">
      <xsd:simpleType>
        <xsd:restriction base="dms:Note"/>
      </xsd:simpleType>
    </xsd:element>
    <xsd:element name="MediaServiceFastMetadata" ma:index="17" nillable="true" ma:displayName="MediaServiceFastMetadata" ma:hidden="true" ma:internalName="MediaServiceFastMetadata" ma:readOnly="true">
      <xsd:simpleType>
        <xsd:restriction base="dms:Note"/>
      </xsd:simpleType>
    </xsd:element>
    <xsd:element name="MediaServiceObjectDetectorVersions" ma:index="18" nillable="true" ma:displayName="MediaServiceObjectDetectorVersions" ma:hidden="true" ma:indexed="true" ma:internalName="MediaServiceObjectDetectorVersions" ma:readOnly="true">
      <xsd:simpleType>
        <xsd:restriction base="dms:Text"/>
      </xsd:simpleType>
    </xsd:element>
    <xsd:element name="MediaServiceSearchProperties" ma:index="19" nillable="true" ma:displayName="MediaServiceSearchProperties" ma:hidden="true" ma:internalName="MediaServiceSearchProperties" ma:readOnly="true">
      <xsd:simpleType>
        <xsd:restriction base="dms:Note"/>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ype de contenu"/>
        <xsd:element ref="dc:title" minOccurs="0" maxOccurs="1" ma:index="4" ma:displayName="Titr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 
</file>

<file path=customXml/item3.xml><?xml version="1.0" encoding="utf-8"?>
<p:properties xmlns:p="http://schemas.microsoft.com/office/2006/metadata/properties" xmlns:xsi="http://www.w3.org/2001/XMLSchema-instance" xmlns:pc="http://schemas.microsoft.com/office/infopath/2007/PartnerControls">
  <documentManagement>
    <gpreadonly xmlns="1d06146d-98bb-41f9-ab1a-602730092ad5">false</gpreadonly>
    <gpdocumentapprovalstatus xmlns="0220b7ec-074b-4483-a194-4c74a058e440" xsi:nil="true"/>
    <gpapprovalby xmlns="1d06146d-98bb-41f9-ab1a-602730092ad5">
      <UserInfo>
        <DisplayName/>
        <AccountId xsi:nil="true"/>
        <AccountType/>
      </UserInfo>
    </gpapprovalby>
    <gprestricted xmlns="1d06146d-98bb-41f9-ab1a-602730092ad5">false</gprestricted>
    <gpapprovalcomments xmlns="1d06146d-98bb-41f9-ab1a-602730092ad5" xsi:nil="true"/>
    <gpUploadStatus xmlns="1d06146d-98bb-41f9-ab1a-602730092ad5">Completed</gpUploadStatus>
    <gprequestsignature xmlns="B89A7DF0-95E9-4F2D-8FCD-5CCD1FFF9BC1" xsi:nil="true"/>
    <gprequestapproval xmlns="7B1FB819-5CB1-4A45-976D-9AD03BC06F20" xsi:nil="true"/>
  </documentManagement>
</p:properties>
</file>

<file path=customXml/item4.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422DFB05-ADC7-45CD-863C-8C1F3876B465}">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0220b7ec-074b-4483-a194-4c74a058e440"/>
    <ds:schemaRef ds:uri="1d06146d-98bb-41f9-ab1a-602730092ad5"/>
    <ds:schemaRef ds:uri="7B1FB819-5CB1-4A45-976D-9AD03BC06F20"/>
    <ds:schemaRef ds:uri="B89A7DF0-95E9-4F2D-8FCD-5CCD1FFF9BC1"/>
    <ds:schemaRef ds:uri="cf0a1d4c-b86d-4d81-b8f4-e2a5edb38bfd"/>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476059B6-FFD9-4928-853C-395C5CC4FA45}">
  <ds:schemaRefs>
    <ds:schemaRef ds:uri="http://schemas.microsoft.com/DataMashup"/>
  </ds:schemaRefs>
</ds:datastoreItem>
</file>

<file path=customXml/itemProps3.xml><?xml version="1.0" encoding="utf-8"?>
<ds:datastoreItem xmlns:ds="http://schemas.openxmlformats.org/officeDocument/2006/customXml" ds:itemID="{41961D41-5820-44A9-91AB-F495F5F60819}">
  <ds:schemaRefs>
    <ds:schemaRef ds:uri="http://schemas.microsoft.com/office/2006/metadata/properties"/>
    <ds:schemaRef ds:uri="http://schemas.microsoft.com/office/infopath/2007/PartnerControls"/>
    <ds:schemaRef ds:uri="1d06146d-98bb-41f9-ab1a-602730092ad5"/>
    <ds:schemaRef ds:uri="0220b7ec-074b-4483-a194-4c74a058e440"/>
    <ds:schemaRef ds:uri="B89A7DF0-95E9-4F2D-8FCD-5CCD1FFF9BC1"/>
    <ds:schemaRef ds:uri="7B1FB819-5CB1-4A45-976D-9AD03BC06F20"/>
  </ds:schemaRefs>
</ds:datastoreItem>
</file>

<file path=customXml/itemProps4.xml><?xml version="1.0" encoding="utf-8"?>
<ds:datastoreItem xmlns:ds="http://schemas.openxmlformats.org/officeDocument/2006/customXml" ds:itemID="{940D9F4D-3E45-41B2-95B2-B0A7F414EBDE}">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7</vt:i4>
      </vt:variant>
      <vt:variant>
        <vt:lpstr>Plages nommées</vt:lpstr>
      </vt:variant>
      <vt:variant>
        <vt:i4>2</vt:i4>
      </vt:variant>
    </vt:vector>
  </HeadingPairs>
  <TitlesOfParts>
    <vt:vector size="9" baseType="lpstr">
      <vt:lpstr>HOW TO USE</vt:lpstr>
      <vt:lpstr>1. Calcul Avec prov</vt:lpstr>
      <vt:lpstr>2. Calcul Sans prov</vt:lpstr>
      <vt:lpstr>3. Template</vt:lpstr>
      <vt:lpstr>Glossaire</vt:lpstr>
      <vt:lpstr>BS . Avec prov</vt:lpstr>
      <vt:lpstr>BS . Sans prov</vt:lpstr>
      <vt:lpstr>tx_taxe_transport</vt:lpstr>
      <vt:lpstr>'3. Template'!Zone_d_impression</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ANARCY</dc:creator>
  <cp:keywords/>
  <dc:description/>
  <cp:lastModifiedBy>lucas blanchet</cp:lastModifiedBy>
  <cp:revision/>
  <dcterms:created xsi:type="dcterms:W3CDTF">2019-04-29T15:16:48Z</dcterms:created>
  <dcterms:modified xsi:type="dcterms:W3CDTF">2025-03-28T23:12:34Z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0x01010078E595C6EB318341B7D7061AFAFF23BD0200186A38CF2AD8034DBECF4ECE7CB93DCC</vt:lpwstr>
  </property>
</Properties>
</file>