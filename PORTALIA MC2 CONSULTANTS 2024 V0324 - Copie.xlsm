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trlProps/ctrlProp2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ESILV_année_4\PI2\Portalia\"/>
    </mc:Choice>
  </mc:AlternateContent>
  <xr:revisionPtr revIDLastSave="0" documentId="13_ncr:1_{D3555020-9AC8-4A71-86F4-500E29111817}" xr6:coauthVersionLast="47" xr6:coauthVersionMax="47" xr10:uidLastSave="{00000000-0000-0000-0000-000000000000}"/>
  <bookViews>
    <workbookView xWindow="2304" yWindow="2304" windowWidth="13692" windowHeight="9408" tabRatio="798" firstSheet="4" activeTab="6" xr2:uid="{00000000-000D-0000-FFFF-FFFF00000000}"/>
  </bookViews>
  <sheets>
    <sheet name="HOW TO USE" sheetId="7" r:id="rId1"/>
    <sheet name="1. Calcul Avec prov" sheetId="1" r:id="rId2"/>
    <sheet name="2. Calcul Sans prov" sheetId="3" r:id="rId3"/>
    <sheet name="3. Template" sheetId="6" r:id="rId4"/>
    <sheet name="Glossaire" sheetId="12" r:id="rId5"/>
    <sheet name="BS . Avec prov" sheetId="2" r:id="rId6"/>
    <sheet name="BS . Sans prov" sheetId="4" r:id="rId7"/>
  </sheets>
  <definedNames>
    <definedName name="PLA">'3. Template'!#REF!</definedName>
    <definedName name="t_corresp_com">#REF!</definedName>
    <definedName name="tx_taxe_transport">'1. Calcul Avec prov'!$M$27</definedName>
    <definedName name="_xlnm.Print_Area" localSheetId="3">'3. Template'!$A$1:$E$39</definedName>
  </definedNames>
  <calcPr calcId="191028" iterate="1" iterateDelta="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6" l="1"/>
  <c r="E13" i="6"/>
  <c r="V9" i="4"/>
  <c r="X9" i="2"/>
  <c r="G29" i="4"/>
  <c r="F35" i="4"/>
  <c r="F35" i="2"/>
  <c r="G29" i="2"/>
  <c r="M26" i="1" l="1"/>
  <c r="M27" i="1"/>
  <c r="M25" i="1"/>
  <c r="F36" i="4" l="1"/>
  <c r="F36" i="2"/>
  <c r="C5" i="6" l="1"/>
  <c r="C6" i="6"/>
  <c r="D9" i="6"/>
  <c r="E10" i="6"/>
  <c r="E11" i="6"/>
  <c r="E21" i="6"/>
  <c r="M10" i="1"/>
  <c r="K4" i="1" l="1"/>
  <c r="J4" i="3" l="1"/>
  <c r="J7" i="3"/>
  <c r="C29" i="2" l="1"/>
  <c r="N23" i="2" l="1"/>
  <c r="N24" i="2" l="1"/>
  <c r="M17" i="1"/>
  <c r="J18" i="3"/>
  <c r="J5" i="3"/>
  <c r="J16" i="3"/>
  <c r="M16" i="3" s="1"/>
  <c r="J22" i="3"/>
  <c r="E29" i="2" l="1"/>
  <c r="E29" i="4"/>
  <c r="L33" i="4"/>
  <c r="J20" i="3" l="1"/>
  <c r="C29" i="4" l="1"/>
  <c r="C10" i="4"/>
  <c r="C9" i="4"/>
  <c r="C8" i="4"/>
  <c r="C7" i="4"/>
  <c r="D6" i="4"/>
  <c r="C6" i="4"/>
  <c r="C5" i="4"/>
  <c r="E6" i="4" l="1"/>
  <c r="M12" i="1" l="1"/>
  <c r="E16" i="6" s="1"/>
  <c r="J11" i="3" l="1"/>
  <c r="M11" i="3" s="1"/>
  <c r="E48" i="2" l="1"/>
  <c r="J13" i="1"/>
  <c r="E18" i="6" s="1"/>
  <c r="C45" i="2"/>
  <c r="C44" i="2"/>
  <c r="E47" i="2"/>
  <c r="D6" i="2"/>
  <c r="C5" i="2"/>
  <c r="E28" i="6" l="1"/>
  <c r="C49" i="2"/>
  <c r="C53" i="2"/>
  <c r="C52" i="2"/>
  <c r="C51" i="2"/>
  <c r="C46" i="2"/>
  <c r="C42" i="2"/>
  <c r="C7" i="2"/>
  <c r="C9" i="2"/>
  <c r="C8" i="2"/>
  <c r="C6" i="2"/>
  <c r="E6" i="2" s="1"/>
  <c r="C10" i="2"/>
  <c r="J12" i="3" l="1"/>
  <c r="M12" i="3" s="1"/>
  <c r="M13" i="1" l="1"/>
  <c r="E45" i="2" l="1"/>
  <c r="D45" i="2" s="1"/>
  <c r="Q47" i="4"/>
  <c r="P47" i="4"/>
  <c r="Q46" i="4"/>
  <c r="P46" i="4"/>
  <c r="Q45" i="4"/>
  <c r="P45" i="4"/>
  <c r="Q44" i="4"/>
  <c r="P44" i="4"/>
  <c r="Q43" i="4"/>
  <c r="P43" i="4"/>
  <c r="Q42" i="4"/>
  <c r="P42" i="4"/>
  <c r="P41" i="4"/>
  <c r="P40" i="4"/>
  <c r="Q39" i="4"/>
  <c r="P39" i="4"/>
  <c r="J6" i="3"/>
  <c r="B5" i="3"/>
  <c r="E24" i="6" s="1"/>
  <c r="E5" i="4" l="1"/>
  <c r="D5" i="4" s="1"/>
  <c r="D7" i="4" s="1"/>
  <c r="E7" i="4" s="1"/>
  <c r="M7" i="3"/>
  <c r="M6" i="3"/>
  <c r="M9" i="3"/>
  <c r="M8" i="3"/>
  <c r="B5" i="1"/>
  <c r="E23" i="6" s="1"/>
  <c r="D8" i="4" l="1"/>
  <c r="D9" i="4" s="1"/>
  <c r="E5" i="2"/>
  <c r="D5" i="2" s="1"/>
  <c r="D7" i="2" s="1"/>
  <c r="D8" i="2" s="1"/>
  <c r="D9" i="2" s="1"/>
  <c r="J6" i="1"/>
  <c r="E7" i="6" s="1"/>
  <c r="E8" i="4" l="1"/>
  <c r="E9" i="4"/>
  <c r="D10" i="4"/>
  <c r="E7" i="2"/>
  <c r="D10" i="2"/>
  <c r="M8" i="1"/>
  <c r="M6" i="1"/>
  <c r="M7" i="1"/>
  <c r="E8" i="6" s="1"/>
  <c r="M9" i="1" l="1"/>
  <c r="E20" i="6" s="1"/>
  <c r="J13" i="3"/>
  <c r="J14" i="3" s="1"/>
  <c r="E10" i="4"/>
  <c r="C37" i="4" s="1"/>
  <c r="V7" i="4" l="1"/>
  <c r="V8" i="4" s="1"/>
  <c r="C18" i="4"/>
  <c r="E18" i="4" s="1"/>
  <c r="C35" i="4"/>
  <c r="C36" i="4"/>
  <c r="E36" i="4" s="1"/>
  <c r="C28" i="4"/>
  <c r="C31" i="4"/>
  <c r="E31" i="4" s="1"/>
  <c r="G37" i="4"/>
  <c r="C33" i="4"/>
  <c r="G33" i="4" s="1"/>
  <c r="C16" i="4"/>
  <c r="G16" i="4" s="1"/>
  <c r="C30" i="4"/>
  <c r="G30" i="4" s="1"/>
  <c r="C15" i="4"/>
  <c r="C21" i="4" s="1"/>
  <c r="C17" i="4"/>
  <c r="G17" i="4" s="1"/>
  <c r="C13" i="4"/>
  <c r="E13" i="4" s="1"/>
  <c r="C14" i="4"/>
  <c r="G14" i="4" s="1"/>
  <c r="C23" i="4"/>
  <c r="G23" i="4" s="1"/>
  <c r="C32" i="4"/>
  <c r="E32" i="4" s="1"/>
  <c r="C25" i="4"/>
  <c r="G25" i="4" s="1"/>
  <c r="C12" i="4"/>
  <c r="F12" i="4" s="1"/>
  <c r="G12" i="4" s="1"/>
  <c r="C34" i="4"/>
  <c r="E34" i="4" s="1"/>
  <c r="G36" i="4" l="1"/>
  <c r="G31" i="4"/>
  <c r="G28" i="4"/>
  <c r="E28" i="4"/>
  <c r="E16" i="4"/>
  <c r="E37" i="4"/>
  <c r="C24" i="4"/>
  <c r="E17" i="4"/>
  <c r="E30" i="4"/>
  <c r="E33" i="4"/>
  <c r="G15" i="4"/>
  <c r="E14" i="4"/>
  <c r="E15" i="4"/>
  <c r="C19" i="4"/>
  <c r="C20" i="4" s="1"/>
  <c r="G13" i="4"/>
  <c r="E12" i="4"/>
  <c r="G34" i="4"/>
  <c r="G32" i="4"/>
  <c r="E23" i="4"/>
  <c r="G18" i="4"/>
  <c r="E25" i="4"/>
  <c r="E21" i="4"/>
  <c r="G21" i="4"/>
  <c r="G24" i="4" l="1"/>
  <c r="C27" i="4"/>
  <c r="E19" i="4"/>
  <c r="G35" i="4"/>
  <c r="E24" i="4"/>
  <c r="G19" i="4"/>
  <c r="E20" i="4"/>
  <c r="C22" i="4"/>
  <c r="E22" i="4" s="1"/>
  <c r="G20" i="4"/>
  <c r="C26" i="4"/>
  <c r="G26" i="4" s="1"/>
  <c r="E27" i="4" l="1"/>
  <c r="G27" i="4"/>
  <c r="C39" i="4" s="1"/>
  <c r="C38" i="4" s="1"/>
  <c r="E35" i="4"/>
  <c r="G22" i="4"/>
  <c r="E26" i="4"/>
  <c r="E9" i="2"/>
  <c r="E8" i="2"/>
  <c r="G39" i="4" l="1"/>
  <c r="E39" i="4"/>
  <c r="G38" i="4"/>
  <c r="E38" i="4"/>
  <c r="E41" i="4" s="1"/>
  <c r="E10" i="2"/>
  <c r="C37" i="2" s="1"/>
  <c r="X7" i="2" l="1"/>
  <c r="X8" i="2" s="1"/>
  <c r="G37" i="2"/>
  <c r="C18" i="2"/>
  <c r="E18" i="2" s="1"/>
  <c r="G42" i="4"/>
  <c r="C36" i="2"/>
  <c r="C35" i="2"/>
  <c r="C34" i="2"/>
  <c r="G34" i="2" s="1"/>
  <c r="E40" i="4"/>
  <c r="E42" i="4" s="1"/>
  <c r="E44" i="4" s="1"/>
  <c r="C33" i="2"/>
  <c r="G33" i="2" s="1"/>
  <c r="C17" i="2"/>
  <c r="E17" i="2" s="1"/>
  <c r="C13" i="2"/>
  <c r="C16" i="2"/>
  <c r="G16" i="2" s="1"/>
  <c r="C30" i="2"/>
  <c r="E30" i="2" s="1"/>
  <c r="C28" i="2"/>
  <c r="G28" i="2" s="1"/>
  <c r="C31" i="2"/>
  <c r="G31" i="2" s="1"/>
  <c r="C15" i="2"/>
  <c r="C21" i="2" s="1"/>
  <c r="C25" i="2"/>
  <c r="E25" i="2" s="1"/>
  <c r="C32" i="2"/>
  <c r="E32" i="2" s="1"/>
  <c r="C14" i="2"/>
  <c r="G14" i="2" s="1"/>
  <c r="C12" i="2"/>
  <c r="C23" i="2"/>
  <c r="G23" i="2" s="1"/>
  <c r="E36" i="2" l="1"/>
  <c r="G36" i="2"/>
  <c r="G35" i="2"/>
  <c r="E35" i="2"/>
  <c r="C19" i="2"/>
  <c r="B6" i="3"/>
  <c r="E43" i="4"/>
  <c r="C50" i="4"/>
  <c r="H42" i="4"/>
  <c r="E46" i="4"/>
  <c r="B7" i="3"/>
  <c r="C49" i="4"/>
  <c r="E33" i="2"/>
  <c r="G17" i="2"/>
  <c r="E12" i="2"/>
  <c r="F12" i="2"/>
  <c r="G12" i="2" s="1"/>
  <c r="G13" i="2"/>
  <c r="E13" i="2"/>
  <c r="G30" i="2"/>
  <c r="E16" i="2"/>
  <c r="E31" i="2"/>
  <c r="E28" i="2"/>
  <c r="E37" i="2"/>
  <c r="G32" i="2"/>
  <c r="G25" i="2"/>
  <c r="E34" i="2"/>
  <c r="G15" i="2"/>
  <c r="E15" i="2"/>
  <c r="C24" i="2"/>
  <c r="C27" i="2" s="1"/>
  <c r="E14" i="2"/>
  <c r="E23" i="2"/>
  <c r="G18" i="2"/>
  <c r="G21" i="2"/>
  <c r="E21" i="2"/>
  <c r="E19" i="2" l="1"/>
  <c r="G19" i="2"/>
  <c r="C20" i="2"/>
  <c r="B10" i="3"/>
  <c r="B11" i="3" s="1"/>
  <c r="K18" i="3"/>
  <c r="E47" i="4" s="1"/>
  <c r="B9" i="3"/>
  <c r="E52" i="2" s="1"/>
  <c r="E45" i="4"/>
  <c r="E24" i="2"/>
  <c r="G24" i="2"/>
  <c r="G27" i="2"/>
  <c r="C39" i="2" s="1"/>
  <c r="E27" i="2"/>
  <c r="E53" i="2" l="1"/>
  <c r="C26" i="2"/>
  <c r="E20" i="2"/>
  <c r="C22" i="2"/>
  <c r="G20" i="2"/>
  <c r="B12" i="3"/>
  <c r="D52" i="2"/>
  <c r="G39" i="2"/>
  <c r="G22" i="2" l="1"/>
  <c r="E22" i="2"/>
  <c r="E26" i="2"/>
  <c r="G26" i="2"/>
  <c r="C58" i="2"/>
  <c r="D53" i="2"/>
  <c r="C38" i="2"/>
  <c r="E38" i="2" s="1"/>
  <c r="E39" i="2"/>
  <c r="G38" i="2" l="1"/>
  <c r="E41" i="2"/>
  <c r="E40" i="2"/>
  <c r="G42" i="2" l="1"/>
  <c r="E42" i="2"/>
  <c r="E27" i="6" s="1"/>
  <c r="E25" i="6" l="1"/>
  <c r="B7" i="1"/>
  <c r="E46" i="2"/>
  <c r="H42" i="2"/>
  <c r="C55" i="2"/>
  <c r="C56" i="2"/>
  <c r="J14" i="1" s="1"/>
  <c r="E49" i="2"/>
  <c r="D49" i="2" s="1"/>
  <c r="F42" i="2"/>
  <c r="B6" i="1"/>
  <c r="D42" i="2"/>
  <c r="E44" i="2"/>
  <c r="E43" i="2"/>
  <c r="K19" i="1" s="1"/>
  <c r="J15" i="1" l="1"/>
  <c r="E22" i="6"/>
  <c r="E51" i="2"/>
  <c r="E30" i="6" s="1"/>
  <c r="E26" i="6"/>
  <c r="E29" i="6" s="1"/>
  <c r="B10" i="1"/>
  <c r="E50" i="2"/>
  <c r="B9" i="1"/>
  <c r="D44" i="2"/>
  <c r="D46" i="2"/>
  <c r="E32" i="6" l="1"/>
  <c r="B12" i="1"/>
  <c r="D51" i="2"/>
  <c r="B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ANARCY</author>
    <author>GUIBERT Corinne</author>
  </authors>
  <commentList>
    <comment ref="J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choisir de preference 18 jours</t>
        </r>
      </text>
    </comment>
    <comment ref="J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Si CDD, mettre a 0%</t>
        </r>
      </text>
    </comment>
    <comment ref="J9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0%
si CDI mettre le taux negocié
</t>
        </r>
      </text>
    </comment>
    <comment ref="J10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10%
si CDI mettre 0%
</t>
        </r>
      </text>
    </comment>
  </commentList>
</comments>
</file>

<file path=xl/sharedStrings.xml><?xml version="1.0" encoding="utf-8"?>
<sst xmlns="http://schemas.openxmlformats.org/spreadsheetml/2006/main" count="447" uniqueCount="198">
  <si>
    <t>HOW TO USE THE PORTALIA'S MC2 ?</t>
  </si>
  <si>
    <r>
      <t>You can complete only the field in</t>
    </r>
    <r>
      <rPr>
        <b/>
        <sz val="11"/>
        <color theme="9"/>
        <rFont val="Calibri"/>
        <family val="2"/>
        <scheme val="minor"/>
      </rPr>
      <t xml:space="preserve"> green</t>
    </r>
  </si>
  <si>
    <t>1. Complete the ''Calcul Avec prov'' tab</t>
  </si>
  <si>
    <t>2. The purpose is to have the cell J4, identic to B12</t>
  </si>
  <si>
    <t>3. For that, you must click on Button 1</t>
  </si>
  <si>
    <t>(carefull, it must exist a little differences between the 2 amount. Remember, it is a simulation)</t>
  </si>
  <si>
    <t>4. Just click on Button 1 on ''Calcul Sans prov'' and be sure that all the information match with ''Calcul Avec prov''</t>
  </si>
  <si>
    <t>5. Finally, use the ''Template'' tab or the ''Buletin de Salaire' one to give the simulation to the candidate</t>
  </si>
  <si>
    <t>6. Do not forget to tell to the candidate that it is just a simulation</t>
  </si>
  <si>
    <t xml:space="preserve">For any information, do not hesitate to contact PORTALIA_HR@PORTALIA.FR </t>
  </si>
  <si>
    <t xml:space="preserve"> </t>
  </si>
  <si>
    <t>BRUT</t>
  </si>
  <si>
    <t>annuel</t>
  </si>
  <si>
    <t>Taux journalier</t>
  </si>
  <si>
    <t>mensuel</t>
  </si>
  <si>
    <t>Nombre de jour</t>
  </si>
  <si>
    <t>Charges Salariales</t>
  </si>
  <si>
    <t>C.A consultant</t>
  </si>
  <si>
    <t>Charges Patronales</t>
  </si>
  <si>
    <t>Frais de gestion</t>
  </si>
  <si>
    <t>montant</t>
  </si>
  <si>
    <t>Prime de fin de contrat</t>
  </si>
  <si>
    <t>NET</t>
  </si>
  <si>
    <t>Provisions CDI</t>
  </si>
  <si>
    <t>Cout Total</t>
  </si>
  <si>
    <t>Provisions CDD</t>
  </si>
  <si>
    <t>Frais de gestion fixe</t>
  </si>
  <si>
    <t>journalier</t>
  </si>
  <si>
    <t>Frais de fonctionnement</t>
  </si>
  <si>
    <t>Ticket restaurant - 50% pat</t>
  </si>
  <si>
    <t>Masse salariale disponible</t>
  </si>
  <si>
    <t>Cout employeur</t>
  </si>
  <si>
    <t>Mutuelle</t>
  </si>
  <si>
    <t>Oui</t>
  </si>
  <si>
    <t>Taux d'impot</t>
  </si>
  <si>
    <t>Ticket - Restaurant</t>
  </si>
  <si>
    <t>Avance sur salaire</t>
  </si>
  <si>
    <t>Nom de la commune &amp; zone transport</t>
  </si>
  <si>
    <t>Code commune - INSEE</t>
  </si>
  <si>
    <t>% - taux de transport après abattement</t>
  </si>
  <si>
    <t xml:space="preserve">Pour connaitre le code commune rattaché au code postal du lieu de travail, le lien URSSAF : </t>
  </si>
  <si>
    <t>https://www.urssaf.fr/portail/home/taux-et-baremes/versement-mobilite.html</t>
  </si>
  <si>
    <t>Simulation de salaire dans le cadre d'un contrat chez Portalia</t>
  </si>
  <si>
    <t>Calcul du salaire Brut</t>
  </si>
  <si>
    <t>Mensuel</t>
  </si>
  <si>
    <t>Nombre de jours travaillés</t>
  </si>
  <si>
    <t>Facturation client (HT)</t>
  </si>
  <si>
    <t>[en pourcentage de la facturation]</t>
  </si>
  <si>
    <t>Frais complémentaires (pack medical, CVAE, RC et GF)</t>
  </si>
  <si>
    <t>Cout mensuel [payé sur les charges salariales]</t>
  </si>
  <si>
    <t>Tickets restaurant</t>
  </si>
  <si>
    <t>Total des provisions</t>
  </si>
  <si>
    <t xml:space="preserve"> [en pourcentage]</t>
  </si>
  <si>
    <t>Salaire brut (mensuel)</t>
  </si>
  <si>
    <t>Salaire brut (si provisions incluses)</t>
  </si>
  <si>
    <t>[charges patronales entre 40 et 45% - hors provisions]</t>
  </si>
  <si>
    <t>Salaire net avant impot (sur Bulletin de Salaire)</t>
  </si>
  <si>
    <t>[charges salariales comprises entre 20 et 24%]</t>
  </si>
  <si>
    <t>Frais de fonctionnement + TR (Payés hors Bulletin de Salaire)</t>
  </si>
  <si>
    <t>Salaire net + Frais + Tickets Restaurant</t>
  </si>
  <si>
    <t>Provisions net reversées en fin de contrat / en intercontrat</t>
  </si>
  <si>
    <t>Taux de reversion</t>
  </si>
  <si>
    <r>
      <rPr>
        <b/>
        <i/>
        <u/>
        <sz val="9"/>
        <color theme="1"/>
        <rFont val="Calibri"/>
        <family val="2"/>
        <scheme val="minor"/>
      </rPr>
      <t>WARNING</t>
    </r>
    <r>
      <rPr>
        <b/>
        <i/>
        <sz val="9"/>
        <color theme="1"/>
        <rFont val="Calibri"/>
        <family val="2"/>
        <scheme val="minor"/>
      </rPr>
      <t xml:space="preserve"> : Cet outil de simulation est confidentiel et n'est fourni qu'à titre indicatif. 
Les simulations produites ne constituent en aucune façon un engagement contractuel.</t>
    </r>
  </si>
  <si>
    <t>Récapitulatif de paie détaillé</t>
  </si>
  <si>
    <t>SMIC Horaire</t>
  </si>
  <si>
    <t>SALARIE PORTE</t>
  </si>
  <si>
    <t>Code</t>
  </si>
  <si>
    <t>Libellé</t>
  </si>
  <si>
    <t>Jours payés</t>
  </si>
  <si>
    <t>Salaire journalier</t>
  </si>
  <si>
    <t>Salaire mensuel</t>
  </si>
  <si>
    <t>Salaire Brut calculé</t>
  </si>
  <si>
    <t/>
  </si>
  <si>
    <t xml:space="preserve">  Plafond SS journalier 2024</t>
  </si>
  <si>
    <t>Salaire de base minimum</t>
  </si>
  <si>
    <t xml:space="preserve">  Plafond SS mensuel 2024</t>
  </si>
  <si>
    <t xml:space="preserve">Salaire complémentaire </t>
  </si>
  <si>
    <t xml:space="preserve">  Tranche A</t>
  </si>
  <si>
    <t>Ind. Apporteur d'affaires (5%)</t>
  </si>
  <si>
    <t xml:space="preserve">  Tranche B</t>
  </si>
  <si>
    <t>Ind. De congés payés</t>
  </si>
  <si>
    <t>PLAFOND SS URSSAF 2,4721 SMIC</t>
  </si>
  <si>
    <t>Total salaire Brut</t>
  </si>
  <si>
    <t>BASE S</t>
  </si>
  <si>
    <t>Tx SALARIAL</t>
  </si>
  <si>
    <t>Charges SALARIALES</t>
  </si>
  <si>
    <t>Tx PATRONAL</t>
  </si>
  <si>
    <t>Charges PATRONALES</t>
  </si>
  <si>
    <t>SS001</t>
  </si>
  <si>
    <t>Maladie - maternité - invalidité - décès</t>
  </si>
  <si>
    <t>ok</t>
  </si>
  <si>
    <t>SS002</t>
  </si>
  <si>
    <t>Contribution Solidarité Autonomie</t>
  </si>
  <si>
    <t>SS003</t>
  </si>
  <si>
    <t>Vieillesse déplafonnée</t>
  </si>
  <si>
    <t>SS004</t>
  </si>
  <si>
    <t>Vieillesse plafonnée</t>
  </si>
  <si>
    <t>SS005</t>
  </si>
  <si>
    <t>Allocations familiales</t>
  </si>
  <si>
    <t>SS006</t>
  </si>
  <si>
    <t>Accident du travail</t>
  </si>
  <si>
    <t>SS007</t>
  </si>
  <si>
    <t xml:space="preserve">FNAL + 20 </t>
  </si>
  <si>
    <t xml:space="preserve"> ok </t>
  </si>
  <si>
    <t>CH001</t>
  </si>
  <si>
    <t>Assurance chômage TRA + TRB</t>
  </si>
  <si>
    <t>CH002</t>
  </si>
  <si>
    <t>AGS</t>
  </si>
  <si>
    <t>AR001</t>
  </si>
  <si>
    <t>RETRAITE T1</t>
  </si>
  <si>
    <t>part patronale</t>
  </si>
  <si>
    <t>part salariale</t>
  </si>
  <si>
    <t>AG001</t>
  </si>
  <si>
    <t>RETRAITE T2</t>
  </si>
  <si>
    <t>tx patronal</t>
  </si>
  <si>
    <t>Montant pat</t>
  </si>
  <si>
    <t>tx sal</t>
  </si>
  <si>
    <t>Montant sal</t>
  </si>
  <si>
    <t>coût total</t>
  </si>
  <si>
    <t>AG005</t>
  </si>
  <si>
    <t>Contribution Exceptionnelle et Temporaire</t>
  </si>
  <si>
    <t>Non</t>
  </si>
  <si>
    <t>AR004</t>
  </si>
  <si>
    <t>CEG T1</t>
  </si>
  <si>
    <t>Consultant &amp; Enfant</t>
  </si>
  <si>
    <t>CEG T2</t>
  </si>
  <si>
    <t>consultant &amp; Enfant + option</t>
  </si>
  <si>
    <t>AG004</t>
  </si>
  <si>
    <t>APEC</t>
  </si>
  <si>
    <t xml:space="preserve">Famille </t>
  </si>
  <si>
    <t>PR010</t>
  </si>
  <si>
    <t>Prévoyance cadre Tr1</t>
  </si>
  <si>
    <t>Famille + 1 option</t>
  </si>
  <si>
    <t>PR250</t>
  </si>
  <si>
    <t>Prévoyance cadre Tr2</t>
  </si>
  <si>
    <t>Famille + 2 options</t>
  </si>
  <si>
    <t>PS278</t>
  </si>
  <si>
    <t>Frais de sante du regime general</t>
  </si>
  <si>
    <t>SS050</t>
  </si>
  <si>
    <t>Contribution au dialogie social</t>
  </si>
  <si>
    <t>part sal</t>
  </si>
  <si>
    <t>TC004</t>
  </si>
  <si>
    <t xml:space="preserve">Taxe d'apprentissage </t>
  </si>
  <si>
    <t>TC120</t>
  </si>
  <si>
    <t>Developpement de paritarisme</t>
  </si>
  <si>
    <t>TC123</t>
  </si>
  <si>
    <t>Développement du paritarisme</t>
  </si>
  <si>
    <t>TC001</t>
  </si>
  <si>
    <t>Participation à la formation professionnelle</t>
  </si>
  <si>
    <t>Effort construction</t>
  </si>
  <si>
    <t>Plus d'abattement à compter de 2024</t>
  </si>
  <si>
    <t>Versement mobilité (taxe transport)</t>
  </si>
  <si>
    <t>new, IDF avec abattement de 25% en 2024 &amp; SYTRAL avec abattement de 50%</t>
  </si>
  <si>
    <t>SS043</t>
  </si>
  <si>
    <t>Allocations familiales (complément)</t>
  </si>
  <si>
    <t>SS022</t>
  </si>
  <si>
    <t>CSG non déductible et CRDS</t>
  </si>
  <si>
    <t>SS021</t>
  </si>
  <si>
    <t>CSG déductible</t>
  </si>
  <si>
    <t>Total des retenues déductibles</t>
  </si>
  <si>
    <t>Total des retenues non déductibles</t>
  </si>
  <si>
    <t>Total des retenues</t>
  </si>
  <si>
    <t>Salaire net imposable</t>
  </si>
  <si>
    <t>Salaire net</t>
  </si>
  <si>
    <t>Tickets restaurant déduction</t>
  </si>
  <si>
    <t>Net à payer</t>
  </si>
  <si>
    <t>Remboursement Frais de fonctionnement</t>
  </si>
  <si>
    <t>Tickets restaurant remis</t>
  </si>
  <si>
    <t>Coût global hors frais de fonctionnement</t>
  </si>
  <si>
    <t>Net (apres impot)</t>
  </si>
  <si>
    <t>Montant net provisions (réserve)</t>
  </si>
  <si>
    <t>Net (du apres reversement provisions)</t>
  </si>
  <si>
    <t>Net (du apres reversement provisions) + Frais de fonctionnement + Tickets Restaurant</t>
  </si>
  <si>
    <t>Taux de charges Salariale</t>
  </si>
  <si>
    <t>Pierrick Rocher</t>
  </si>
  <si>
    <t>Taux de charges Patronale</t>
  </si>
  <si>
    <r>
      <rPr>
        <i/>
        <u/>
        <sz val="9"/>
        <color theme="1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 : Cet outil de simulation est confidentiel et n'est fourni qu'à titre indicatif. 
Les simulations produites ne constituent en aucune façon un engagement contractuel.</t>
    </r>
  </si>
  <si>
    <t>TRANCHE B GMP</t>
  </si>
  <si>
    <t>SI CADRE EN DESSOUS DE 3311</t>
  </si>
  <si>
    <t>COTISE AUTOMATIQUEMENT A 353,82</t>
  </si>
  <si>
    <t xml:space="preserve">FNAL +20 </t>
  </si>
  <si>
    <t>SOCLE</t>
  </si>
  <si>
    <t>OPTION 1</t>
  </si>
  <si>
    <t>OPTION 2</t>
  </si>
  <si>
    <t>Formule</t>
  </si>
  <si>
    <t>Détails</t>
  </si>
  <si>
    <t>part Portalia</t>
  </si>
  <si>
    <t>part Employé</t>
  </si>
  <si>
    <t>Isolé</t>
  </si>
  <si>
    <t>pris en charge à 60% de la formule isolée</t>
  </si>
  <si>
    <t xml:space="preserve">Duo </t>
  </si>
  <si>
    <t>PR001</t>
  </si>
  <si>
    <t>Prix</t>
  </si>
  <si>
    <t>Net imposable</t>
  </si>
  <si>
    <t>Net + Frais de fonctionnement</t>
  </si>
  <si>
    <t>Coût global</t>
  </si>
  <si>
    <t>Geoffroy Gardey de Soos</t>
  </si>
  <si>
    <t>Bastien Barou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</si>
</sst>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0.0000%"/>
    <numFmt numFmtId="165" formatCode="#,##0.00\ [$€-1];[Red]\-#,##0.00\ [$€-1]"/>
    <numFmt numFmtId="166" formatCode="_([$€-2]\ * #,##0.00_);_([$€-2]\ * \(#,##0.00\);_([$€-2]\ * &quot;-&quot;??_);_(@_)"/>
    <numFmt numFmtId="167" formatCode="_-* #,##0\ [$€-40C]_-;\-* #,##0\ [$€-40C]_-;_-* &quot;-&quot;??\ [$€-40C]_-;_-@_-"/>
    <numFmt numFmtId="168" formatCode="#,##0&quot; jours&quot;"/>
    <numFmt numFmtId="169" formatCode="_-* #,##0.00\ [$€-40C]_-;\-* #,##0.00\ [$€-40C]_-;_-* &quot;-&quot;??\ [$€-40C]_-;_-@_-"/>
    <numFmt numFmtId="170" formatCode="0.000"/>
    <numFmt numFmtId="171" formatCode="_-[$€-2]\ * #,##0.00_-;\-[$€-2]\ * #,##0.00_-;_-[$€-2]\ * &quot;-&quot;??_-;_-@_-"/>
    <numFmt numFmtId="172" formatCode="0.0%"/>
    <numFmt numFmtId="173" formatCode="0.000000"/>
    <numFmt numFmtId="174" formatCode="0.000%"/>
    <numFmt numFmtId="175" formatCode="#,##0.000\ [$€-1];[Red]\-#,##0.000\ [$€-1]"/>
    <numFmt numFmtId="176" formatCode="00000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theme="1"/>
      <name val="Segoe UI"/>
      <family val="2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4"/>
      <color rgb="FF1B5FAB"/>
      <name val="Segoe UI"/>
      <family val="2"/>
    </font>
    <font>
      <b/>
      <sz val="12"/>
      <color rgb="FF00CC99"/>
      <name val="Segoe UI"/>
      <family val="2"/>
    </font>
    <font>
      <i/>
      <sz val="11"/>
      <color theme="1"/>
      <name val="Calibri"/>
      <family val="2"/>
      <scheme val="minor"/>
    </font>
    <font>
      <i/>
      <u/>
      <sz val="9"/>
      <color theme="1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9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u/>
      <sz val="9"/>
      <color theme="1"/>
      <name val="Calibri"/>
      <family val="2"/>
      <scheme val="minor"/>
    </font>
    <font>
      <b/>
      <sz val="10"/>
      <name val="Segoe UI"/>
      <family val="2"/>
    </font>
    <font>
      <b/>
      <sz val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60">
    <border>
      <left/>
      <right/>
      <top/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1B5FAB"/>
      </left>
      <right/>
      <top style="thin">
        <color rgb="FF1B5FAB"/>
      </top>
      <bottom style="thin">
        <color rgb="FF1B5FAB"/>
      </bottom>
      <diagonal/>
    </border>
    <border>
      <left/>
      <right/>
      <top style="thin">
        <color rgb="FF1B5FAB"/>
      </top>
      <bottom style="thin">
        <color rgb="FF1B5FAB"/>
      </bottom>
      <diagonal/>
    </border>
    <border>
      <left/>
      <right style="thin">
        <color rgb="FF1B5FAB"/>
      </right>
      <top style="thin">
        <color rgb="FF1B5FAB"/>
      </top>
      <bottom style="thin">
        <color rgb="FF1B5FAB"/>
      </bottom>
      <diagonal/>
    </border>
    <border>
      <left style="thin">
        <color rgb="FF1B5FAB"/>
      </left>
      <right/>
      <top/>
      <bottom/>
      <diagonal/>
    </border>
    <border>
      <left style="thin">
        <color rgb="FF1B5FAB"/>
      </left>
      <right/>
      <top style="thin">
        <color rgb="FF1B5FAB"/>
      </top>
      <bottom/>
      <diagonal/>
    </border>
    <border>
      <left/>
      <right style="thin">
        <color rgb="FF1B5FAB"/>
      </right>
      <top style="thin">
        <color rgb="FF1B5FAB"/>
      </top>
      <bottom/>
      <diagonal/>
    </border>
    <border>
      <left/>
      <right style="thin">
        <color rgb="FF1B5FAB"/>
      </right>
      <top/>
      <bottom/>
      <diagonal/>
    </border>
    <border>
      <left/>
      <right/>
      <top/>
      <bottom style="thin">
        <color rgb="FF1B5FAB"/>
      </bottom>
      <diagonal/>
    </border>
    <border>
      <left/>
      <right style="thin">
        <color rgb="FF1B5FAB"/>
      </right>
      <top/>
      <bottom style="thin">
        <color rgb="FF1B5FAB"/>
      </bottom>
      <diagonal/>
    </border>
    <border>
      <left/>
      <right/>
      <top style="thin">
        <color rgb="FF1B5FAB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rgb="FF1B5FAB"/>
      </left>
      <right/>
      <top/>
      <bottom style="thin">
        <color theme="8"/>
      </bottom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  <border>
      <left style="thin">
        <color theme="4" tint="-0.249977111117893"/>
      </left>
      <right/>
      <top/>
      <bottom style="thin">
        <color theme="8"/>
      </bottom>
      <diagonal/>
    </border>
    <border>
      <left style="thin">
        <color theme="4" tint="-0.249977111117893"/>
      </left>
      <right/>
      <top style="thin">
        <color theme="8"/>
      </top>
      <bottom style="thin">
        <color theme="8"/>
      </bottom>
      <diagonal/>
    </border>
    <border>
      <left/>
      <right style="thin">
        <color theme="4" tint="-0.249977111117893"/>
      </right>
      <top style="thin">
        <color theme="8"/>
      </top>
      <bottom style="thin">
        <color theme="8"/>
      </bottom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/>
      <top style="medium">
        <color theme="8"/>
      </top>
      <bottom style="medium">
        <color theme="8"/>
      </bottom>
      <diagonal/>
    </border>
    <border>
      <left/>
      <right/>
      <top/>
      <bottom style="thin">
        <color theme="4"/>
      </bottom>
      <diagonal/>
    </border>
    <border>
      <left style="thin">
        <color rgb="FF1B5FAB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rgb="FF0070C0"/>
      </right>
      <top/>
      <bottom/>
      <diagonal/>
    </border>
    <border>
      <left/>
      <right style="thin">
        <color rgb="FF0070C0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/>
      <diagonal/>
    </border>
  </borders>
  <cellStyleXfs count="4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29" applyNumberFormat="0" applyFill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6" fillId="0" borderId="0" applyNumberFormat="0" applyFill="0" applyBorder="0" applyAlignment="0" applyProtection="0"/>
    <xf numFmtId="0" fontId="27" fillId="15" borderId="0" applyNumberFormat="0" applyBorder="0" applyAlignment="0" applyProtection="0"/>
    <xf numFmtId="0" fontId="28" fillId="16" borderId="0" applyNumberFormat="0" applyBorder="0" applyAlignment="0" applyProtection="0"/>
    <xf numFmtId="0" fontId="29" fillId="17" borderId="0" applyNumberFormat="0" applyBorder="0" applyAlignment="0" applyProtection="0"/>
    <xf numFmtId="0" fontId="30" fillId="18" borderId="32" applyNumberFormat="0" applyAlignment="0" applyProtection="0"/>
    <xf numFmtId="0" fontId="31" fillId="19" borderId="33" applyNumberFormat="0" applyAlignment="0" applyProtection="0"/>
    <xf numFmtId="0" fontId="32" fillId="19" borderId="32" applyNumberFormat="0" applyAlignment="0" applyProtection="0"/>
    <xf numFmtId="0" fontId="33" fillId="0" borderId="34" applyNumberFormat="0" applyFill="0" applyAlignment="0" applyProtection="0"/>
    <xf numFmtId="0" fontId="12" fillId="20" borderId="35" applyNumberFormat="0" applyAlignment="0" applyProtection="0"/>
    <xf numFmtId="0" fontId="34" fillId="0" borderId="0" applyNumberFormat="0" applyFill="0" applyBorder="0" applyAlignment="0" applyProtection="0"/>
    <xf numFmtId="0" fontId="1" fillId="21" borderId="36" applyNumberFormat="0" applyFont="0" applyAlignment="0" applyProtection="0"/>
    <xf numFmtId="0" fontId="35" fillId="0" borderId="0" applyNumberFormat="0" applyFill="0" applyBorder="0" applyAlignment="0" applyProtection="0"/>
    <xf numFmtId="0" fontId="2" fillId="0" borderId="37" applyNumberFormat="0" applyFill="0" applyAlignment="0" applyProtection="0"/>
    <xf numFmtId="0" fontId="8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8" fillId="45" borderId="0" applyNumberFormat="0" applyBorder="0" applyAlignment="0" applyProtection="0"/>
    <xf numFmtId="0" fontId="46" fillId="0" borderId="0" applyNumberFormat="0" applyFill="0" applyBorder="0" applyAlignment="0" applyProtection="0"/>
  </cellStyleXfs>
  <cellXfs count="211">
    <xf numFmtId="0" fontId="0" fillId="0" borderId="0" xfId="0"/>
    <xf numFmtId="0" fontId="2" fillId="0" borderId="0" xfId="0" applyFont="1"/>
    <xf numFmtId="0" fontId="3" fillId="2" borderId="4" xfId="0" applyFont="1" applyFill="1" applyBorder="1" applyAlignment="1">
      <alignment horizontal="center" vertical="center" wrapText="1"/>
    </xf>
    <xf numFmtId="0" fontId="4" fillId="3" borderId="0" xfId="0" applyFont="1" applyFill="1"/>
    <xf numFmtId="4" fontId="4" fillId="3" borderId="0" xfId="0" applyNumberFormat="1" applyFont="1" applyFill="1"/>
    <xf numFmtId="0" fontId="5" fillId="3" borderId="0" xfId="0" applyFont="1" applyFill="1"/>
    <xf numFmtId="0" fontId="4" fillId="4" borderId="0" xfId="0" applyFont="1" applyFill="1"/>
    <xf numFmtId="4" fontId="4" fillId="4" borderId="0" xfId="0" applyNumberFormat="1" applyFont="1" applyFill="1"/>
    <xf numFmtId="0" fontId="5" fillId="4" borderId="0" xfId="0" applyFont="1" applyFill="1"/>
    <xf numFmtId="0" fontId="0" fillId="5" borderId="0" xfId="0" applyFill="1"/>
    <xf numFmtId="4" fontId="0" fillId="5" borderId="0" xfId="0" applyNumberFormat="1" applyFill="1"/>
    <xf numFmtId="164" fontId="0" fillId="0" borderId="0" xfId="0" applyNumberFormat="1"/>
    <xf numFmtId="0" fontId="6" fillId="8" borderId="8" xfId="0" applyFont="1" applyFill="1" applyBorder="1" applyAlignment="1">
      <alignment horizontal="center"/>
    </xf>
    <xf numFmtId="0" fontId="0" fillId="0" borderId="8" xfId="0" applyBorder="1"/>
    <xf numFmtId="165" fontId="0" fillId="0" borderId="8" xfId="0" applyNumberFormat="1" applyBorder="1"/>
    <xf numFmtId="165" fontId="7" fillId="0" borderId="8" xfId="0" applyNumberFormat="1" applyFont="1" applyBorder="1" applyAlignment="1">
      <alignment horizontal="center" vertical="center"/>
    </xf>
    <xf numFmtId="165" fontId="7" fillId="0" borderId="8" xfId="0" applyNumberFormat="1" applyFont="1" applyBorder="1" applyAlignment="1">
      <alignment horizontal="center" vertical="center" wrapText="1"/>
    </xf>
    <xf numFmtId="0" fontId="0" fillId="8" borderId="8" xfId="0" applyFill="1" applyBorder="1"/>
    <xf numFmtId="165" fontId="0" fillId="0" borderId="0" xfId="0" applyNumberFormat="1"/>
    <xf numFmtId="4" fontId="0" fillId="0" borderId="0" xfId="0" applyNumberFormat="1"/>
    <xf numFmtId="4" fontId="5" fillId="4" borderId="0" xfId="0" applyNumberFormat="1" applyFont="1" applyFill="1"/>
    <xf numFmtId="10" fontId="4" fillId="4" borderId="0" xfId="1" applyNumberFormat="1" applyFont="1" applyFill="1" applyBorder="1" applyAlignment="1" applyProtection="1"/>
    <xf numFmtId="0" fontId="4" fillId="9" borderId="0" xfId="0" applyFont="1" applyFill="1"/>
    <xf numFmtId="4" fontId="4" fillId="9" borderId="0" xfId="0" applyNumberFormat="1" applyFont="1" applyFill="1"/>
    <xf numFmtId="0" fontId="5" fillId="9" borderId="0" xfId="0" applyFont="1" applyFill="1"/>
    <xf numFmtId="0" fontId="4" fillId="10" borderId="0" xfId="0" applyFont="1" applyFill="1"/>
    <xf numFmtId="4" fontId="4" fillId="10" borderId="0" xfId="0" applyNumberFormat="1" applyFont="1" applyFill="1"/>
    <xf numFmtId="0" fontId="5" fillId="10" borderId="0" xfId="0" applyFont="1" applyFill="1"/>
    <xf numFmtId="166" fontId="0" fillId="0" borderId="0" xfId="0" applyNumberFormat="1"/>
    <xf numFmtId="0" fontId="8" fillId="0" borderId="0" xfId="0" applyFont="1"/>
    <xf numFmtId="0" fontId="0" fillId="0" borderId="15" xfId="0" applyBorder="1"/>
    <xf numFmtId="9" fontId="0" fillId="0" borderId="15" xfId="0" applyNumberFormat="1" applyBorder="1"/>
    <xf numFmtId="2" fontId="0" fillId="0" borderId="15" xfId="0" applyNumberFormat="1" applyBorder="1"/>
    <xf numFmtId="1" fontId="0" fillId="0" borderId="15" xfId="0" applyNumberFormat="1" applyBorder="1"/>
    <xf numFmtId="0" fontId="9" fillId="0" borderId="0" xfId="0" applyFont="1"/>
    <xf numFmtId="166" fontId="0" fillId="0" borderId="15" xfId="0" applyNumberFormat="1" applyBorder="1"/>
    <xf numFmtId="4" fontId="0" fillId="0" borderId="15" xfId="0" applyNumberFormat="1" applyBorder="1"/>
    <xf numFmtId="0" fontId="0" fillId="11" borderId="15" xfId="0" applyFill="1" applyBorder="1"/>
    <xf numFmtId="2" fontId="0" fillId="0" borderId="0" xfId="0" applyNumberFormat="1"/>
    <xf numFmtId="165" fontId="8" fillId="0" borderId="0" xfId="0" applyNumberFormat="1" applyFont="1"/>
    <xf numFmtId="0" fontId="4" fillId="12" borderId="0" xfId="0" applyFont="1" applyFill="1"/>
    <xf numFmtId="4" fontId="4" fillId="12" borderId="0" xfId="0" applyNumberFormat="1" applyFont="1" applyFill="1"/>
    <xf numFmtId="166" fontId="0" fillId="11" borderId="15" xfId="0" applyNumberFormat="1" applyFill="1" applyBorder="1"/>
    <xf numFmtId="9" fontId="0" fillId="11" borderId="15" xfId="1" applyFont="1" applyFill="1" applyBorder="1"/>
    <xf numFmtId="0" fontId="0" fillId="13" borderId="0" xfId="0" applyFill="1" applyAlignment="1">
      <alignment horizontal="center" vertical="center"/>
    </xf>
    <xf numFmtId="0" fontId="2" fillId="13" borderId="20" xfId="0" applyFont="1" applyFill="1" applyBorder="1" applyAlignment="1">
      <alignment horizontal="left" vertical="center"/>
    </xf>
    <xf numFmtId="0" fontId="2" fillId="13" borderId="19" xfId="0" applyFont="1" applyFill="1" applyBorder="1" applyAlignment="1">
      <alignment horizontal="left" vertical="center"/>
    </xf>
    <xf numFmtId="0" fontId="0" fillId="13" borderId="22" xfId="0" applyFill="1" applyBorder="1" applyAlignment="1">
      <alignment horizontal="center" vertical="center"/>
    </xf>
    <xf numFmtId="0" fontId="0" fillId="13" borderId="20" xfId="0" applyFill="1" applyBorder="1" applyAlignment="1">
      <alignment horizontal="left" vertical="center"/>
    </xf>
    <xf numFmtId="9" fontId="0" fillId="13" borderId="0" xfId="0" applyNumberFormat="1" applyFill="1" applyAlignment="1">
      <alignment horizontal="center" vertical="center"/>
    </xf>
    <xf numFmtId="166" fontId="0" fillId="13" borderId="0" xfId="0" applyNumberFormat="1" applyFill="1" applyAlignment="1">
      <alignment horizontal="center" vertical="center"/>
    </xf>
    <xf numFmtId="0" fontId="0" fillId="13" borderId="0" xfId="0" applyFill="1" applyAlignment="1">
      <alignment horizontal="left" vertical="center"/>
    </xf>
    <xf numFmtId="0" fontId="0" fillId="13" borderId="19" xfId="0" applyFill="1" applyBorder="1" applyAlignment="1">
      <alignment horizontal="left" vertical="center"/>
    </xf>
    <xf numFmtId="166" fontId="0" fillId="13" borderId="24" xfId="0" applyNumberFormat="1" applyFill="1" applyBorder="1" applyAlignment="1">
      <alignment horizontal="center" vertical="center"/>
    </xf>
    <xf numFmtId="0" fontId="18" fillId="0" borderId="15" xfId="0" applyFont="1" applyBorder="1"/>
    <xf numFmtId="0" fontId="0" fillId="0" borderId="26" xfId="0" applyBorder="1"/>
    <xf numFmtId="0" fontId="0" fillId="0" borderId="27" xfId="0" applyBorder="1"/>
    <xf numFmtId="0" fontId="0" fillId="0" borderId="26" xfId="0" applyBorder="1" applyAlignment="1">
      <alignment horizontal="center"/>
    </xf>
    <xf numFmtId="0" fontId="19" fillId="0" borderId="0" xfId="0" applyFont="1"/>
    <xf numFmtId="9" fontId="0" fillId="5" borderId="15" xfId="0" applyNumberFormat="1" applyFill="1" applyBorder="1"/>
    <xf numFmtId="2" fontId="17" fillId="0" borderId="0" xfId="0" applyNumberFormat="1" applyFont="1"/>
    <xf numFmtId="0" fontId="4" fillId="5" borderId="0" xfId="0" applyFont="1" applyFill="1"/>
    <xf numFmtId="4" fontId="4" fillId="5" borderId="0" xfId="0" applyNumberFormat="1" applyFont="1" applyFill="1"/>
    <xf numFmtId="0" fontId="4" fillId="12" borderId="0" xfId="0" applyFont="1" applyFill="1" applyAlignment="1">
      <alignment wrapText="1"/>
    </xf>
    <xf numFmtId="2" fontId="5" fillId="4" borderId="0" xfId="0" applyNumberFormat="1" applyFont="1" applyFill="1"/>
    <xf numFmtId="2" fontId="4" fillId="12" borderId="0" xfId="0" applyNumberFormat="1" applyFont="1" applyFill="1"/>
    <xf numFmtId="170" fontId="4" fillId="10" borderId="0" xfId="0" applyNumberFormat="1" applyFont="1" applyFill="1"/>
    <xf numFmtId="0" fontId="20" fillId="6" borderId="0" xfId="0" applyFont="1" applyFill="1"/>
    <xf numFmtId="4" fontId="20" fillId="7" borderId="0" xfId="0" applyNumberFormat="1" applyFont="1" applyFill="1"/>
    <xf numFmtId="164" fontId="20" fillId="7" borderId="0" xfId="1" applyNumberFormat="1" applyFont="1" applyFill="1" applyBorder="1" applyAlignment="1" applyProtection="1"/>
    <xf numFmtId="0" fontId="5" fillId="11" borderId="0" xfId="0" applyFont="1" applyFill="1"/>
    <xf numFmtId="2" fontId="5" fillId="11" borderId="0" xfId="0" applyNumberFormat="1" applyFont="1" applyFill="1"/>
    <xf numFmtId="4" fontId="5" fillId="11" borderId="0" xfId="0" applyNumberFormat="1" applyFont="1" applyFill="1"/>
    <xf numFmtId="0" fontId="20" fillId="6" borderId="6" xfId="0" applyFont="1" applyFill="1" applyBorder="1"/>
    <xf numFmtId="0" fontId="21" fillId="6" borderId="6" xfId="0" applyFont="1" applyFill="1" applyBorder="1" applyAlignment="1">
      <alignment horizontal="center" wrapText="1"/>
    </xf>
    <xf numFmtId="0" fontId="4" fillId="4" borderId="6" xfId="0" applyFont="1" applyFill="1" applyBorder="1"/>
    <xf numFmtId="4" fontId="4" fillId="4" borderId="6" xfId="0" applyNumberFormat="1" applyFont="1" applyFill="1" applyBorder="1"/>
    <xf numFmtId="4" fontId="5" fillId="4" borderId="6" xfId="0" applyNumberFormat="1" applyFont="1" applyFill="1" applyBorder="1"/>
    <xf numFmtId="168" fontId="4" fillId="4" borderId="6" xfId="0" applyNumberFormat="1" applyFont="1" applyFill="1" applyBorder="1"/>
    <xf numFmtId="168" fontId="5" fillId="11" borderId="0" xfId="0" applyNumberFormat="1" applyFont="1" applyFill="1"/>
    <xf numFmtId="168" fontId="4" fillId="10" borderId="0" xfId="0" applyNumberFormat="1" applyFont="1" applyFill="1"/>
    <xf numFmtId="168" fontId="4" fillId="9" borderId="0" xfId="0" applyNumberFormat="1" applyFont="1" applyFill="1"/>
    <xf numFmtId="168" fontId="4" fillId="5" borderId="0" xfId="0" applyNumberFormat="1" applyFont="1" applyFill="1"/>
    <xf numFmtId="168" fontId="4" fillId="12" borderId="0" xfId="0" applyNumberFormat="1" applyFont="1" applyFill="1"/>
    <xf numFmtId="168" fontId="4" fillId="3" borderId="0" xfId="0" applyNumberFormat="1" applyFont="1" applyFill="1"/>
    <xf numFmtId="168" fontId="5" fillId="4" borderId="0" xfId="0" applyNumberFormat="1" applyFont="1" applyFill="1"/>
    <xf numFmtId="0" fontId="14" fillId="13" borderId="17" xfId="0" applyFont="1" applyFill="1" applyBorder="1" applyAlignment="1">
      <alignment horizontal="right" vertical="center"/>
    </xf>
    <xf numFmtId="0" fontId="0" fillId="13" borderId="21" xfId="0" applyFill="1" applyBorder="1" applyAlignment="1">
      <alignment horizontal="center" vertical="center"/>
    </xf>
    <xf numFmtId="171" fontId="0" fillId="13" borderId="0" xfId="0" applyNumberFormat="1" applyFill="1" applyAlignment="1">
      <alignment horizontal="center" vertical="center"/>
    </xf>
    <xf numFmtId="2" fontId="4" fillId="9" borderId="0" xfId="0" applyNumberFormat="1" applyFont="1" applyFill="1"/>
    <xf numFmtId="0" fontId="0" fillId="0" borderId="0" xfId="0" applyAlignment="1">
      <alignment horizontal="center" wrapText="1"/>
    </xf>
    <xf numFmtId="43" fontId="0" fillId="0" borderId="0" xfId="2" applyFont="1"/>
    <xf numFmtId="0" fontId="22" fillId="0" borderId="0" xfId="0" applyFont="1"/>
    <xf numFmtId="0" fontId="36" fillId="0" borderId="0" xfId="0" applyFont="1"/>
    <xf numFmtId="0" fontId="9" fillId="13" borderId="19" xfId="0" applyFont="1" applyFill="1" applyBorder="1" applyAlignment="1">
      <alignment horizontal="left" vertical="center"/>
    </xf>
    <xf numFmtId="0" fontId="0" fillId="13" borderId="39" xfId="0" applyFill="1" applyBorder="1" applyAlignment="1">
      <alignment horizontal="center" vertical="center"/>
    </xf>
    <xf numFmtId="166" fontId="0" fillId="13" borderId="15" xfId="0" applyNumberFormat="1" applyFill="1" applyBorder="1"/>
    <xf numFmtId="2" fontId="0" fillId="11" borderId="15" xfId="0" applyNumberFormat="1" applyFill="1" applyBorder="1"/>
    <xf numFmtId="0" fontId="36" fillId="13" borderId="8" xfId="0" applyFont="1" applyFill="1" applyBorder="1" applyAlignment="1">
      <alignment horizontal="center" vertical="center"/>
    </xf>
    <xf numFmtId="0" fontId="39" fillId="8" borderId="14" xfId="0" applyFont="1" applyFill="1" applyBorder="1" applyAlignment="1">
      <alignment horizontal="center"/>
    </xf>
    <xf numFmtId="0" fontId="39" fillId="8" borderId="13" xfId="0" applyFont="1" applyFill="1" applyBorder="1" applyAlignment="1">
      <alignment horizontal="center"/>
    </xf>
    <xf numFmtId="0" fontId="40" fillId="13" borderId="7" xfId="0" applyFont="1" applyFill="1" applyBorder="1" applyAlignment="1">
      <alignment horizontal="center" vertical="center"/>
    </xf>
    <xf numFmtId="0" fontId="40" fillId="13" borderId="10" xfId="0" applyFont="1" applyFill="1" applyBorder="1" applyAlignment="1">
      <alignment horizontal="center" vertical="center"/>
    </xf>
    <xf numFmtId="170" fontId="0" fillId="0" borderId="0" xfId="0" applyNumberFormat="1"/>
    <xf numFmtId="173" fontId="0" fillId="0" borderId="0" xfId="0" applyNumberFormat="1"/>
    <xf numFmtId="2" fontId="0" fillId="0" borderId="0" xfId="0" applyNumberFormat="1" applyProtection="1">
      <protection locked="0"/>
    </xf>
    <xf numFmtId="171" fontId="0" fillId="0" borderId="0" xfId="0" applyNumberFormat="1"/>
    <xf numFmtId="172" fontId="0" fillId="0" borderId="0" xfId="1" applyNumberFormat="1" applyFont="1"/>
    <xf numFmtId="9" fontId="15" fillId="13" borderId="0" xfId="1" applyFont="1" applyFill="1" applyBorder="1" applyAlignment="1">
      <alignment horizontal="right" vertical="center"/>
    </xf>
    <xf numFmtId="9" fontId="15" fillId="13" borderId="22" xfId="1" applyFont="1" applyFill="1" applyBorder="1" applyAlignment="1">
      <alignment horizontal="right" vertical="center"/>
    </xf>
    <xf numFmtId="9" fontId="0" fillId="11" borderId="15" xfId="1" applyFont="1" applyFill="1" applyBorder="1" applyAlignment="1">
      <alignment horizontal="right"/>
    </xf>
    <xf numFmtId="1" fontId="0" fillId="0" borderId="15" xfId="0" applyNumberFormat="1" applyBorder="1" applyAlignment="1">
      <alignment horizontal="right"/>
    </xf>
    <xf numFmtId="0" fontId="6" fillId="8" borderId="5" xfId="0" applyFont="1" applyFill="1" applyBorder="1" applyAlignment="1">
      <alignment horizontal="center"/>
    </xf>
    <xf numFmtId="0" fontId="39" fillId="8" borderId="0" xfId="0" applyFont="1" applyFill="1" applyAlignment="1">
      <alignment horizontal="center"/>
    </xf>
    <xf numFmtId="0" fontId="40" fillId="13" borderId="0" xfId="0" applyFont="1" applyFill="1" applyAlignment="1">
      <alignment horizontal="center" vertical="center"/>
    </xf>
    <xf numFmtId="174" fontId="0" fillId="0" borderId="8" xfId="1" applyNumberFormat="1" applyFont="1" applyBorder="1"/>
    <xf numFmtId="165" fontId="7" fillId="0" borderId="5" xfId="0" applyNumberFormat="1" applyFont="1" applyBorder="1" applyAlignment="1">
      <alignment horizontal="center" vertical="center"/>
    </xf>
    <xf numFmtId="0" fontId="0" fillId="0" borderId="41" xfId="0" applyBorder="1"/>
    <xf numFmtId="174" fontId="0" fillId="0" borderId="41" xfId="1" applyNumberFormat="1" applyFont="1" applyBorder="1"/>
    <xf numFmtId="165" fontId="0" fillId="0" borderId="41" xfId="0" applyNumberFormat="1" applyBorder="1"/>
    <xf numFmtId="165" fontId="7" fillId="0" borderId="9" xfId="0" applyNumberFormat="1" applyFont="1" applyBorder="1" applyAlignment="1">
      <alignment horizontal="center" vertical="center"/>
    </xf>
    <xf numFmtId="174" fontId="0" fillId="0" borderId="5" xfId="1" applyNumberFormat="1" applyFont="1" applyBorder="1"/>
    <xf numFmtId="2" fontId="36" fillId="11" borderId="15" xfId="0" applyNumberFormat="1" applyFont="1" applyFill="1" applyBorder="1" applyAlignment="1">
      <alignment horizontal="right"/>
    </xf>
    <xf numFmtId="2" fontId="36" fillId="0" borderId="15" xfId="0" applyNumberFormat="1" applyFont="1" applyBorder="1" applyAlignment="1">
      <alignment horizontal="right"/>
    </xf>
    <xf numFmtId="175" fontId="0" fillId="0" borderId="8" xfId="0" applyNumberFormat="1" applyBorder="1"/>
    <xf numFmtId="175" fontId="0" fillId="0" borderId="41" xfId="0" applyNumberFormat="1" applyBorder="1"/>
    <xf numFmtId="172" fontId="0" fillId="11" borderId="15" xfId="0" applyNumberFormat="1" applyFill="1" applyBorder="1"/>
    <xf numFmtId="172" fontId="0" fillId="0" borderId="15" xfId="0" applyNumberFormat="1" applyBorder="1"/>
    <xf numFmtId="0" fontId="41" fillId="0" borderId="0" xfId="0" applyFont="1"/>
    <xf numFmtId="166" fontId="0" fillId="13" borderId="22" xfId="0" applyNumberFormat="1" applyFill="1" applyBorder="1" applyAlignment="1">
      <alignment horizontal="center" vertical="center"/>
    </xf>
    <xf numFmtId="166" fontId="0" fillId="13" borderId="45" xfId="0" applyNumberFormat="1" applyFill="1" applyBorder="1" applyAlignment="1">
      <alignment horizontal="center" vertical="center"/>
    </xf>
    <xf numFmtId="9" fontId="9" fillId="13" borderId="45" xfId="1" applyFont="1" applyFill="1" applyBorder="1" applyAlignment="1">
      <alignment horizontal="right" vertical="center"/>
    </xf>
    <xf numFmtId="166" fontId="9" fillId="13" borderId="45" xfId="0" applyNumberFormat="1" applyFont="1" applyFill="1" applyBorder="1" applyAlignment="1">
      <alignment horizontal="center" vertical="center"/>
    </xf>
    <xf numFmtId="0" fontId="0" fillId="13" borderId="43" xfId="0" applyFill="1" applyBorder="1" applyAlignment="1">
      <alignment horizontal="center" vertical="center"/>
    </xf>
    <xf numFmtId="0" fontId="0" fillId="13" borderId="49" xfId="0" applyFill="1" applyBorder="1" applyAlignment="1">
      <alignment horizontal="center" vertical="center"/>
    </xf>
    <xf numFmtId="0" fontId="14" fillId="13" borderId="18" xfId="0" applyFont="1" applyFill="1" applyBorder="1" applyAlignment="1">
      <alignment horizontal="center" vertical="center"/>
    </xf>
    <xf numFmtId="166" fontId="9" fillId="13" borderId="45" xfId="1" applyNumberFormat="1" applyFont="1" applyFill="1" applyBorder="1" applyAlignment="1">
      <alignment vertical="center"/>
    </xf>
    <xf numFmtId="166" fontId="0" fillId="13" borderId="45" xfId="0" applyNumberFormat="1" applyFill="1" applyBorder="1" applyAlignment="1">
      <alignment vertical="center"/>
    </xf>
    <xf numFmtId="0" fontId="9" fillId="13" borderId="44" xfId="0" applyFont="1" applyFill="1" applyBorder="1" applyAlignment="1">
      <alignment horizontal="left" vertical="center"/>
    </xf>
    <xf numFmtId="0" fontId="0" fillId="13" borderId="50" xfId="0" applyFill="1" applyBorder="1" applyAlignment="1">
      <alignment horizontal="left" vertical="center"/>
    </xf>
    <xf numFmtId="0" fontId="0" fillId="13" borderId="51" xfId="0" applyFill="1" applyBorder="1" applyAlignment="1">
      <alignment horizontal="center" vertical="center"/>
    </xf>
    <xf numFmtId="166" fontId="0" fillId="13" borderId="48" xfId="0" applyNumberFormat="1" applyFill="1" applyBorder="1" applyAlignment="1">
      <alignment vertical="center"/>
    </xf>
    <xf numFmtId="0" fontId="0" fillId="0" borderId="19" xfId="0" applyBorder="1" applyAlignment="1">
      <alignment horizontal="left" vertical="center"/>
    </xf>
    <xf numFmtId="0" fontId="12" fillId="48" borderId="40" xfId="0" applyFont="1" applyFill="1" applyBorder="1" applyAlignment="1">
      <alignment horizontal="left" vertical="center"/>
    </xf>
    <xf numFmtId="0" fontId="12" fillId="48" borderId="38" xfId="0" applyFont="1" applyFill="1" applyBorder="1" applyAlignment="1">
      <alignment horizontal="center" vertical="center"/>
    </xf>
    <xf numFmtId="166" fontId="12" fillId="48" borderId="46" xfId="0" applyNumberFormat="1" applyFont="1" applyFill="1" applyBorder="1" applyAlignment="1">
      <alignment vertical="center"/>
    </xf>
    <xf numFmtId="166" fontId="12" fillId="48" borderId="47" xfId="0" applyNumberFormat="1" applyFont="1" applyFill="1" applyBorder="1" applyAlignment="1">
      <alignment vertical="center"/>
    </xf>
    <xf numFmtId="0" fontId="42" fillId="46" borderId="19" xfId="0" applyFont="1" applyFill="1" applyBorder="1" applyAlignment="1">
      <alignment horizontal="left" vertical="center"/>
    </xf>
    <xf numFmtId="0" fontId="42" fillId="46" borderId="23" xfId="0" applyFont="1" applyFill="1" applyBorder="1" applyAlignment="1">
      <alignment horizontal="left" vertical="center"/>
    </xf>
    <xf numFmtId="169" fontId="42" fillId="46" borderId="23" xfId="0" applyNumberFormat="1" applyFont="1" applyFill="1" applyBorder="1" applyAlignment="1">
      <alignment horizontal="left" vertical="center"/>
    </xf>
    <xf numFmtId="166" fontId="42" fillId="46" borderId="24" xfId="0" applyNumberFormat="1" applyFont="1" applyFill="1" applyBorder="1" applyAlignment="1">
      <alignment horizontal="center" vertical="center"/>
    </xf>
    <xf numFmtId="0" fontId="43" fillId="13" borderId="0" xfId="0" applyFont="1" applyFill="1" applyAlignment="1">
      <alignment horizontal="center" vertical="center"/>
    </xf>
    <xf numFmtId="0" fontId="42" fillId="47" borderId="20" xfId="0" applyFont="1" applyFill="1" applyBorder="1" applyAlignment="1">
      <alignment horizontal="left" vertical="center"/>
    </xf>
    <xf numFmtId="0" fontId="42" fillId="47" borderId="25" xfId="0" applyFont="1" applyFill="1" applyBorder="1" applyAlignment="1">
      <alignment horizontal="center" vertical="center"/>
    </xf>
    <xf numFmtId="166" fontId="42" fillId="47" borderId="25" xfId="0" applyNumberFormat="1" applyFont="1" applyFill="1" applyBorder="1" applyAlignment="1">
      <alignment horizontal="center" vertical="center"/>
    </xf>
    <xf numFmtId="166" fontId="42" fillId="47" borderId="21" xfId="0" applyNumberFormat="1" applyFont="1" applyFill="1" applyBorder="1" applyAlignment="1">
      <alignment horizontal="center" vertical="center"/>
    </xf>
    <xf numFmtId="0" fontId="8" fillId="13" borderId="22" xfId="0" applyFont="1" applyFill="1" applyBorder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0" fillId="13" borderId="54" xfId="0" applyFill="1" applyBorder="1" applyAlignment="1">
      <alignment horizontal="left" vertical="center"/>
    </xf>
    <xf numFmtId="2" fontId="0" fillId="13" borderId="54" xfId="0" applyNumberFormat="1" applyFill="1" applyBorder="1" applyAlignment="1">
      <alignment horizontal="center" vertical="center"/>
    </xf>
    <xf numFmtId="0" fontId="0" fillId="13" borderId="54" xfId="0" applyFill="1" applyBorder="1" applyAlignment="1">
      <alignment horizontal="center" vertical="center"/>
    </xf>
    <xf numFmtId="0" fontId="44" fillId="13" borderId="55" xfId="0" applyFont="1" applyFill="1" applyBorder="1" applyAlignment="1">
      <alignment horizontal="left" vertical="center"/>
    </xf>
    <xf numFmtId="2" fontId="0" fillId="13" borderId="56" xfId="0" applyNumberFormat="1" applyFill="1" applyBorder="1" applyAlignment="1">
      <alignment horizontal="center" vertical="center"/>
    </xf>
    <xf numFmtId="0" fontId="0" fillId="13" borderId="56" xfId="0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0" fontId="42" fillId="47" borderId="0" xfId="0" applyFont="1" applyFill="1" applyAlignment="1">
      <alignment horizontal="left" vertical="center"/>
    </xf>
    <xf numFmtId="0" fontId="42" fillId="47" borderId="0" xfId="0" applyFont="1" applyFill="1" applyAlignment="1">
      <alignment horizontal="center" vertical="center"/>
    </xf>
    <xf numFmtId="166" fontId="42" fillId="47" borderId="0" xfId="0" applyNumberFormat="1" applyFont="1" applyFill="1" applyAlignment="1">
      <alignment horizontal="center" vertical="center"/>
    </xf>
    <xf numFmtId="0" fontId="0" fillId="13" borderId="57" xfId="0" applyFill="1" applyBorder="1" applyAlignment="1">
      <alignment horizontal="center" vertical="center"/>
    </xf>
    <xf numFmtId="166" fontId="42" fillId="47" borderId="57" xfId="0" applyNumberFormat="1" applyFont="1" applyFill="1" applyBorder="1" applyAlignment="1">
      <alignment horizontal="center" vertical="center"/>
    </xf>
    <xf numFmtId="172" fontId="44" fillId="13" borderId="58" xfId="1" applyNumberFormat="1" applyFont="1" applyFill="1" applyBorder="1" applyAlignment="1">
      <alignment horizontal="center" vertical="center"/>
    </xf>
    <xf numFmtId="165" fontId="40" fillId="13" borderId="5" xfId="0" applyNumberFormat="1" applyFont="1" applyFill="1" applyBorder="1" applyAlignment="1">
      <alignment horizontal="center" vertical="center"/>
    </xf>
    <xf numFmtId="165" fontId="40" fillId="13" borderId="9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right"/>
    </xf>
    <xf numFmtId="0" fontId="45" fillId="0" borderId="0" xfId="0" applyFont="1" applyAlignment="1">
      <alignment horizontal="right"/>
    </xf>
    <xf numFmtId="0" fontId="46" fillId="0" borderId="0" xfId="44" applyAlignment="1">
      <alignment horizontal="right"/>
    </xf>
    <xf numFmtId="9" fontId="9" fillId="0" borderId="0" xfId="1" applyFont="1"/>
    <xf numFmtId="176" fontId="0" fillId="11" borderId="15" xfId="0" quotePrefix="1" applyNumberFormat="1" applyFill="1" applyBorder="1"/>
    <xf numFmtId="10" fontId="0" fillId="0" borderId="15" xfId="0" applyNumberFormat="1" applyBorder="1"/>
    <xf numFmtId="0" fontId="0" fillId="13" borderId="59" xfId="0" applyFill="1" applyBorder="1" applyAlignment="1">
      <alignment horizontal="center" vertical="center"/>
    </xf>
    <xf numFmtId="166" fontId="15" fillId="13" borderId="22" xfId="0" applyNumberFormat="1" applyFont="1" applyFill="1" applyBorder="1" applyAlignment="1">
      <alignment horizontal="right" vertical="center"/>
    </xf>
    <xf numFmtId="0" fontId="37" fillId="13" borderId="52" xfId="0" applyFont="1" applyFill="1" applyBorder="1" applyAlignment="1">
      <alignment horizontal="center" vertical="center" wrapText="1"/>
    </xf>
    <xf numFmtId="0" fontId="37" fillId="13" borderId="53" xfId="0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14" fillId="13" borderId="16" xfId="0" applyFont="1" applyFill="1" applyBorder="1" applyAlignment="1">
      <alignment horizontal="center" vertical="center"/>
    </xf>
    <xf numFmtId="0" fontId="14" fillId="13" borderId="17" xfId="0" applyFont="1" applyFill="1" applyBorder="1" applyAlignment="1">
      <alignment horizontal="center" vertical="center"/>
    </xf>
    <xf numFmtId="9" fontId="9" fillId="13" borderId="0" xfId="1" applyFont="1" applyFill="1" applyBorder="1" applyAlignment="1">
      <alignment horizontal="right" vertical="center"/>
    </xf>
    <xf numFmtId="9" fontId="9" fillId="13" borderId="22" xfId="1" applyFont="1" applyFill="1" applyBorder="1" applyAlignment="1">
      <alignment horizontal="right" vertical="center"/>
    </xf>
    <xf numFmtId="0" fontId="13" fillId="13" borderId="0" xfId="0" applyFont="1" applyFill="1" applyAlignment="1">
      <alignment horizontal="center" vertical="center"/>
    </xf>
    <xf numFmtId="0" fontId="13" fillId="13" borderId="23" xfId="0" applyFont="1" applyFill="1" applyBorder="1" applyAlignment="1">
      <alignment horizontal="center" vertical="center"/>
    </xf>
    <xf numFmtId="167" fontId="2" fillId="13" borderId="25" xfId="0" applyNumberFormat="1" applyFont="1" applyFill="1" applyBorder="1" applyAlignment="1">
      <alignment horizontal="center" vertical="center"/>
    </xf>
    <xf numFmtId="168" fontId="2" fillId="13" borderId="0" xfId="0" applyNumberFormat="1" applyFont="1" applyFill="1" applyAlignment="1">
      <alignment horizontal="right" vertical="center"/>
    </xf>
    <xf numFmtId="0" fontId="6" fillId="8" borderId="13" xfId="0" applyFont="1" applyFill="1" applyBorder="1" applyAlignment="1">
      <alignment horizontal="center"/>
    </xf>
    <xf numFmtId="0" fontId="6" fillId="8" borderId="42" xfId="0" applyFont="1" applyFill="1" applyBorder="1" applyAlignment="1">
      <alignment horizontal="center"/>
    </xf>
    <xf numFmtId="0" fontId="9" fillId="14" borderId="28" xfId="0" applyFont="1" applyFill="1" applyBorder="1" applyAlignment="1">
      <alignment horizontal="center" vertical="center" wrapText="1"/>
    </xf>
    <xf numFmtId="0" fontId="9" fillId="14" borderId="26" xfId="0" applyFont="1" applyFill="1" applyBorder="1" applyAlignment="1">
      <alignment horizontal="center" vertical="center" wrapText="1"/>
    </xf>
    <xf numFmtId="0" fontId="9" fillId="14" borderId="27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45">
    <cellStyle name="20 % - Accent1" xfId="21" builtinId="30" customBuiltin="1"/>
    <cellStyle name="20 % - Accent2" xfId="25" builtinId="34" customBuiltin="1"/>
    <cellStyle name="20 % - Accent3" xfId="29" builtinId="38" customBuiltin="1"/>
    <cellStyle name="20 % - Accent4" xfId="33" builtinId="42" customBuiltin="1"/>
    <cellStyle name="20 % - Accent5" xfId="37" builtinId="46" customBuiltin="1"/>
    <cellStyle name="20 % - Accent6" xfId="41" builtinId="50" customBuiltin="1"/>
    <cellStyle name="40 % - Accent1" xfId="22" builtinId="31" customBuiltin="1"/>
    <cellStyle name="40 % - Accent2" xfId="26" builtinId="35" customBuiltin="1"/>
    <cellStyle name="40 % - Accent3" xfId="30" builtinId="39" customBuiltin="1"/>
    <cellStyle name="40 % - Accent4" xfId="34" builtinId="43" customBuiltin="1"/>
    <cellStyle name="40 % - Accent5" xfId="38" builtinId="47" customBuiltin="1"/>
    <cellStyle name="40 % - Accent6" xfId="42" builtinId="51" customBuiltin="1"/>
    <cellStyle name="60 % - Accent1" xfId="23" builtinId="32" customBuiltin="1"/>
    <cellStyle name="60 % - Accent2" xfId="27" builtinId="36" customBuiltin="1"/>
    <cellStyle name="60 % - Accent3" xfId="31" builtinId="40" customBuiltin="1"/>
    <cellStyle name="60 % - Accent4" xfId="35" builtinId="44" customBuiltin="1"/>
    <cellStyle name="60 % - Accent5" xfId="39" builtinId="48" customBuiltin="1"/>
    <cellStyle name="60 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Avertissement" xfId="16" builtinId="11" customBuiltin="1"/>
    <cellStyle name="Calcul" xfId="13" builtinId="22" customBuiltin="1"/>
    <cellStyle name="Cellule liée" xfId="14" builtinId="24" customBuiltin="1"/>
    <cellStyle name="Entrée" xfId="11" builtinId="20" customBuiltin="1"/>
    <cellStyle name="Insatisfaisant" xfId="9" builtinId="27" customBuiltin="1"/>
    <cellStyle name="Lien hypertexte" xfId="44" builtinId="8"/>
    <cellStyle name="Milliers" xfId="2" builtinId="3"/>
    <cellStyle name="Neutre" xfId="10" builtinId="28" customBuiltin="1"/>
    <cellStyle name="Normal" xfId="0" builtinId="0"/>
    <cellStyle name="Note" xfId="17" builtinId="10" customBuiltin="1"/>
    <cellStyle name="Pourcentage" xfId="1" builtinId="5"/>
    <cellStyle name="Satisfaisant" xfId="8" builtinId="26" customBuiltin="1"/>
    <cellStyle name="Sortie" xfId="12" builtinId="21" customBuiltin="1"/>
    <cellStyle name="Texte explicatif" xfId="18" builtinId="53" customBuiltin="1"/>
    <cellStyle name="Titre" xfId="3" builtinId="15" customBuiltin="1"/>
    <cellStyle name="Titre 1" xfId="4" builtinId="16" customBuiltin="1"/>
    <cellStyle name="Titre 2" xfId="5" builtinId="17" customBuiltin="1"/>
    <cellStyle name="Titre 3" xfId="6" builtinId="18" customBuiltin="1"/>
    <cellStyle name="Titre 4" xfId="7" builtinId="19" customBuiltin="1"/>
    <cellStyle name="Total" xfId="19" builtinId="25" customBuiltin="1"/>
    <cellStyle name="Vérification" xfId="15" builtinId="23" customBuiltin="1"/>
  </cellStyles>
  <dxfs count="21">
    <dxf>
      <numFmt numFmtId="165" formatCode="#,##0.00\ [$€-1];[Red]\-#,##0.00\ [$€-1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#,##0.00\ [$€-1];[Red]\-#,##0.00\ [$€-1]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165" formatCode="#,##0.00\ [$€-1];[Red]\-#,##0.00\ [$€-1]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0.00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165" formatCode="#,##0.00\ [$€-1];[Red]\-#,##0.00\ [$€-1]"/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0.00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right style="thin">
          <color auto="1"/>
        </right>
        <bottom style="thin">
          <color auto="1"/>
        </bottom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#,##0.00\ [$€-1];[Red]\-#,##0.00\ [$€-1]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0"/>
        <color auto="1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16</xdr:row>
      <xdr:rowOff>95250</xdr:rowOff>
    </xdr:from>
    <xdr:to>
      <xdr:col>6</xdr:col>
      <xdr:colOff>315541</xdr:colOff>
      <xdr:row>20</xdr:row>
      <xdr:rowOff>35361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850" y="3562350"/>
          <a:ext cx="2885386" cy="702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1</xdr:row>
          <xdr:rowOff>38100</xdr:rowOff>
        </xdr:from>
        <xdr:to>
          <xdr:col>14</xdr:col>
          <xdr:colOff>342900</xdr:colOff>
          <xdr:row>3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1</xdr:row>
          <xdr:rowOff>38100</xdr:rowOff>
        </xdr:from>
        <xdr:to>
          <xdr:col>14</xdr:col>
          <xdr:colOff>342900</xdr:colOff>
          <xdr:row>3</xdr:row>
          <xdr:rowOff>160020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33852</xdr:colOff>
      <xdr:row>0</xdr:row>
      <xdr:rowOff>103823</xdr:rowOff>
    </xdr:from>
    <xdr:to>
      <xdr:col>1</xdr:col>
      <xdr:colOff>2213512</xdr:colOff>
      <xdr:row>0</xdr:row>
      <xdr:rowOff>610871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102" y="103823"/>
          <a:ext cx="2179660" cy="507048"/>
        </a:xfrm>
        <a:prstGeom prst="rect">
          <a:avLst/>
        </a:prstGeom>
      </xdr:spPr>
    </xdr:pic>
    <xdr:clientData/>
  </xdr:twoCellAnchor>
  <xdr:twoCellAnchor editAs="oneCell">
    <xdr:from>
      <xdr:col>1</xdr:col>
      <xdr:colOff>2942050</xdr:colOff>
      <xdr:row>34</xdr:row>
      <xdr:rowOff>1905</xdr:rowOff>
    </xdr:from>
    <xdr:to>
      <xdr:col>3</xdr:col>
      <xdr:colOff>778591</xdr:colOff>
      <xdr:row>41</xdr:row>
      <xdr:rowOff>135914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7300" y="6963093"/>
          <a:ext cx="2278049" cy="140813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Mutuelle" displayName="TabMutuelle" ref="K30:L32" totalsRowShown="0" headerRowDxfId="20" dataDxfId="18" headerRowBorderDxfId="19" tableBorderDxfId="17" totalsRowBorderDxfId="16">
  <autoFilter ref="K30:L32" xr:uid="{00000000-0009-0000-0100-000003000000}">
    <filterColumn colId="0" hiddenButton="1"/>
    <filterColumn colId="1" hiddenButton="1"/>
  </autoFilter>
  <tableColumns count="2">
    <tableColumn id="1" xr3:uid="{00000000-0010-0000-0100-000001000000}" name="Mutuelle" dataDxfId="15"/>
    <tableColumn id="2" xr3:uid="{00000000-0010-0000-0100-000002000000}" name="part sal" dataDxfId="14">
      <calculatedColumnFormula>M24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B9F22B-459E-4FF0-8E00-A9A2FA417BC3}" name="Tabmutuelle_AXA" displayName="Tabmutuelle_AXA" ref="I22:N28" headerRowCount="0" totalsRowShown="0" headerRowDxfId="13" tableBorderDxfId="12">
  <tableColumns count="6">
    <tableColumn id="1" xr3:uid="{7300FEE3-3E1A-4455-9D63-430AD33ECC81}" name="Colonne1" dataDxfId="11"/>
    <tableColumn id="4" xr3:uid="{182C38EE-9216-4340-9796-C5EC9A1A4635}" name="Colonne4" headerRowDxfId="10" dataDxfId="9"/>
    <tableColumn id="5" xr3:uid="{B36999D8-BCF5-41CD-BB1E-CFBFAAEF662C}" name="Colonne5" headerRowDxfId="8" dataDxfId="7"/>
    <tableColumn id="6" xr3:uid="{5B69CCFF-4B35-40EE-8623-9BE764110772}" name="Colonne6" headerRowDxfId="6" dataDxfId="5"/>
    <tableColumn id="7" xr3:uid="{19F9980C-506F-4BF6-AD68-AE827126CE8F}" name="Colonne7" headerRowDxfId="4" dataDxfId="3"/>
    <tableColumn id="8" xr3:uid="{33568481-BA54-42FF-8AF0-FE0B81391315}" name="Colonne8" headerRowDxfId="2" dataDxfId="1">
      <calculatedColumnFormula>M22+K22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13" displayName="Table13" ref="P38:Q47" totalsRowShown="0">
  <autoFilter ref="P38:Q47" xr:uid="{00000000-0009-0000-0100-000002000000}"/>
  <tableColumns count="2">
    <tableColumn id="1" xr3:uid="{00000000-0010-0000-0200-000001000000}" name="Mutuelle">
      <calculatedColumnFormula>CONCATENATE(K38," ",L38)</calculatedColumnFormula>
    </tableColumn>
    <tableColumn id="2" xr3:uid="{00000000-0010-0000-0200-000002000000}" name="Prix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rssaf.fr/portail/home/taux-et-baremes/versement-mobilite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customProperty" Target="../customProperty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FF0000"/>
  </sheetPr>
  <dimension ref="B2:U33"/>
  <sheetViews>
    <sheetView showGridLines="0" zoomScale="85" zoomScaleNormal="85" workbookViewId="0">
      <selection activeCell="L7" sqref="L7"/>
    </sheetView>
  </sheetViews>
  <sheetFormatPr baseColWidth="10" defaultColWidth="8.5546875" defaultRowHeight="14.4" x14ac:dyDescent="0.3"/>
  <sheetData>
    <row r="2" spans="2:9" ht="15" thickBot="1" x14ac:dyDescent="0.35"/>
    <row r="3" spans="2:9" ht="31.8" thickBot="1" x14ac:dyDescent="0.65">
      <c r="B3" s="54" t="s">
        <v>0</v>
      </c>
      <c r="C3" s="55"/>
      <c r="D3" s="55"/>
      <c r="E3" s="55"/>
      <c r="F3" s="55"/>
      <c r="G3" s="57"/>
      <c r="H3" s="55"/>
      <c r="I3" s="56"/>
    </row>
    <row r="5" spans="2:9" x14ac:dyDescent="0.3">
      <c r="B5" s="1" t="s">
        <v>1</v>
      </c>
    </row>
    <row r="7" spans="2:9" x14ac:dyDescent="0.3">
      <c r="B7" s="1" t="s">
        <v>2</v>
      </c>
    </row>
    <row r="8" spans="2:9" x14ac:dyDescent="0.3">
      <c r="B8" s="1" t="s">
        <v>3</v>
      </c>
    </row>
    <row r="9" spans="2:9" x14ac:dyDescent="0.3">
      <c r="B9" s="1" t="s">
        <v>4</v>
      </c>
      <c r="F9" s="58" t="s">
        <v>5</v>
      </c>
    </row>
    <row r="10" spans="2:9" x14ac:dyDescent="0.3">
      <c r="B10" s="1" t="s">
        <v>6</v>
      </c>
    </row>
    <row r="11" spans="2:9" x14ac:dyDescent="0.3">
      <c r="B11" s="1" t="s">
        <v>7</v>
      </c>
    </row>
    <row r="12" spans="2:9" x14ac:dyDescent="0.3">
      <c r="B12" s="1" t="s">
        <v>8</v>
      </c>
    </row>
    <row r="14" spans="2:9" x14ac:dyDescent="0.3">
      <c r="B14" s="1" t="s">
        <v>9</v>
      </c>
    </row>
    <row r="33" spans="21:21" x14ac:dyDescent="0.3">
      <c r="U33" t="s">
        <v>10</v>
      </c>
    </row>
  </sheetData>
  <pageMargins left="0.7" right="0.7" top="0.75" bottom="0.75" header="0.3" footer="0.3"/>
  <customProperties>
    <customPr name="OrphanNamesChecked" r:id="rId1"/>
  </customProperti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0.39997558519241921"/>
  </sheetPr>
  <dimension ref="A2:U31"/>
  <sheetViews>
    <sheetView showGridLines="0" zoomScale="59" zoomScaleNormal="115" workbookViewId="0">
      <selection activeCell="B4" sqref="B4"/>
    </sheetView>
  </sheetViews>
  <sheetFormatPr baseColWidth="10" defaultColWidth="8.5546875" defaultRowHeight="14.4" x14ac:dyDescent="0.3"/>
  <cols>
    <col min="1" max="1" width="18.109375" bestFit="1" customWidth="1"/>
    <col min="2" max="2" width="13.88671875" bestFit="1" customWidth="1"/>
    <col min="3" max="3" width="9.5546875" bestFit="1" customWidth="1"/>
    <col min="4" max="5" width="0" hidden="1" customWidth="1"/>
    <col min="6" max="6" width="8.5546875" hidden="1" customWidth="1"/>
    <col min="8" max="8" width="24.5546875" bestFit="1" customWidth="1"/>
    <col min="10" max="10" width="17" bestFit="1" customWidth="1"/>
    <col min="11" max="11" width="9.44140625" bestFit="1" customWidth="1"/>
    <col min="13" max="13" width="10.5546875" bestFit="1" customWidth="1"/>
  </cols>
  <sheetData>
    <row r="2" spans="1:21" x14ac:dyDescent="0.3">
      <c r="U2" s="29">
        <v>21.67</v>
      </c>
    </row>
    <row r="3" spans="1:21" ht="15" thickBot="1" x14ac:dyDescent="0.35"/>
    <row r="4" spans="1:21" ht="15" thickBot="1" x14ac:dyDescent="0.35">
      <c r="A4" s="30" t="s">
        <v>11</v>
      </c>
      <c r="B4" s="35">
        <v>59000</v>
      </c>
      <c r="C4" s="34" t="s">
        <v>12</v>
      </c>
      <c r="H4" s="30" t="s">
        <v>13</v>
      </c>
      <c r="J4" s="37">
        <v>500</v>
      </c>
      <c r="K4" s="128" t="str">
        <f>IF(AND(J10=10%,J4&lt;250)," Erreur TJM","")</f>
        <v/>
      </c>
    </row>
    <row r="5" spans="1:21" ht="15" thickBot="1" x14ac:dyDescent="0.35">
      <c r="A5" s="30" t="s">
        <v>11</v>
      </c>
      <c r="B5" s="35">
        <f>B4/12</f>
        <v>4916.666666666667</v>
      </c>
      <c r="C5" s="34" t="s">
        <v>14</v>
      </c>
      <c r="F5" s="28"/>
      <c r="H5" s="30" t="s">
        <v>15</v>
      </c>
      <c r="J5" s="37">
        <v>18</v>
      </c>
    </row>
    <row r="6" spans="1:21" ht="15" thickBot="1" x14ac:dyDescent="0.35">
      <c r="A6" s="30" t="s">
        <v>16</v>
      </c>
      <c r="B6" s="35">
        <f>'BS . Avec prov'!E42</f>
        <v>1061.3280722</v>
      </c>
      <c r="H6" s="30" t="s">
        <v>17</v>
      </c>
      <c r="J6" s="33">
        <f>J4*J5</f>
        <v>9000</v>
      </c>
      <c r="K6" s="34" t="s">
        <v>14</v>
      </c>
      <c r="M6" s="32">
        <f>J6*12</f>
        <v>108000</v>
      </c>
      <c r="N6" s="34" t="s">
        <v>12</v>
      </c>
    </row>
    <row r="7" spans="1:21" ht="15" thickBot="1" x14ac:dyDescent="0.35">
      <c r="A7" s="30" t="s">
        <v>18</v>
      </c>
      <c r="B7" s="35" t="e">
        <f>'BS . Avec prov'!G42</f>
        <v>#REF!</v>
      </c>
      <c r="H7" s="30" t="s">
        <v>19</v>
      </c>
      <c r="J7" s="126">
        <v>0.08</v>
      </c>
      <c r="M7" s="32">
        <f>J6*J7</f>
        <v>720</v>
      </c>
      <c r="N7" s="34" t="s">
        <v>20</v>
      </c>
    </row>
    <row r="8" spans="1:21" ht="15" thickBot="1" x14ac:dyDescent="0.35">
      <c r="H8" s="30" t="s">
        <v>21</v>
      </c>
      <c r="J8" s="59">
        <v>0.02</v>
      </c>
      <c r="M8" s="32">
        <f>J8*J6</f>
        <v>180</v>
      </c>
      <c r="N8" s="34" t="s">
        <v>20</v>
      </c>
    </row>
    <row r="9" spans="1:21" ht="15" thickBot="1" x14ac:dyDescent="0.35">
      <c r="A9" s="30" t="s">
        <v>22</v>
      </c>
      <c r="B9" s="36">
        <f>'BS . Avec prov'!E46</f>
        <v>3756.3385944666661</v>
      </c>
      <c r="H9" s="30" t="s">
        <v>23</v>
      </c>
      <c r="J9" s="178">
        <v>0.1</v>
      </c>
      <c r="M9" s="32">
        <f>($J$6-$M$7-$M$8-$J$11-$M$12-$M$13)*$J$9/(1+$J$9)</f>
        <v>709.36363636363637</v>
      </c>
      <c r="N9" s="34" t="s">
        <v>20</v>
      </c>
      <c r="O9" s="103"/>
    </row>
    <row r="10" spans="1:21" ht="15" thickBot="1" x14ac:dyDescent="0.35">
      <c r="A10" s="30" t="s">
        <v>24</v>
      </c>
      <c r="B10" s="36" t="e">
        <f>B5+B7+M7+J11+M8+M9+M10+M12+M13+M23</f>
        <v>#REF!</v>
      </c>
      <c r="C10" s="34" t="s">
        <v>14</v>
      </c>
      <c r="H10" s="30" t="s">
        <v>25</v>
      </c>
      <c r="J10" s="31">
        <v>0</v>
      </c>
      <c r="M10" s="32">
        <f>IF(J10=0,0,('BS . Avec prov'!E6+'BS . Avec prov'!E7+'BS . Avec prov'!E8)*0.11*(1+'BS . Avec prov'!C56))</f>
        <v>0</v>
      </c>
      <c r="N10" s="34" t="s">
        <v>20</v>
      </c>
    </row>
    <row r="11" spans="1:21" ht="15" thickBot="1" x14ac:dyDescent="0.35">
      <c r="B11" s="32" t="e">
        <f>B10*12</f>
        <v>#REF!</v>
      </c>
      <c r="C11" s="34" t="s">
        <v>12</v>
      </c>
      <c r="H11" s="30" t="s">
        <v>26</v>
      </c>
      <c r="J11" s="32">
        <v>198</v>
      </c>
    </row>
    <row r="12" spans="1:21" ht="15" thickBot="1" x14ac:dyDescent="0.35">
      <c r="B12" s="32" t="e">
        <f>B10/J5</f>
        <v>#REF!</v>
      </c>
      <c r="C12" s="34" t="s">
        <v>27</v>
      </c>
      <c r="H12" s="30" t="s">
        <v>28</v>
      </c>
      <c r="J12" s="42">
        <v>0</v>
      </c>
      <c r="M12" s="32">
        <f>J12</f>
        <v>0</v>
      </c>
      <c r="N12" s="34" t="s">
        <v>20</v>
      </c>
      <c r="O12" s="92"/>
    </row>
    <row r="13" spans="1:21" ht="15" thickBot="1" x14ac:dyDescent="0.35">
      <c r="H13" s="30" t="s">
        <v>29</v>
      </c>
      <c r="J13" s="96">
        <f>J21/2</f>
        <v>99</v>
      </c>
      <c r="M13" s="32">
        <f>J13</f>
        <v>99</v>
      </c>
      <c r="N13" s="34" t="s">
        <v>20</v>
      </c>
    </row>
    <row r="14" spans="1:21" ht="15" thickBot="1" x14ac:dyDescent="0.35">
      <c r="F14" s="38"/>
      <c r="H14" s="30" t="s">
        <v>30</v>
      </c>
      <c r="J14" s="32">
        <f>J6-M7-M8-M9-M10-J11-M12-M13-M23</f>
        <v>7093.636363636364</v>
      </c>
      <c r="K14" s="106"/>
    </row>
    <row r="15" spans="1:21" ht="15" thickBot="1" x14ac:dyDescent="0.35">
      <c r="F15" s="38"/>
      <c r="H15" s="30" t="s">
        <v>31</v>
      </c>
      <c r="J15" s="32">
        <f>J14+J11+M7+M12+M8+M9+M13+M10+M23</f>
        <v>9000</v>
      </c>
    </row>
    <row r="16" spans="1:21" ht="15" thickBot="1" x14ac:dyDescent="0.35">
      <c r="F16" s="38"/>
    </row>
    <row r="17" spans="2:21" ht="15" thickBot="1" x14ac:dyDescent="0.35">
      <c r="H17" s="30" t="s">
        <v>32</v>
      </c>
      <c r="J17" s="122" t="s">
        <v>33</v>
      </c>
      <c r="M17" s="32">
        <f>VLOOKUP(J17,TabMutuelle[],2,FALSE)</f>
        <v>30</v>
      </c>
      <c r="N17" s="34" t="s">
        <v>20</v>
      </c>
    </row>
    <row r="18" spans="2:21" ht="15" thickBot="1" x14ac:dyDescent="0.35">
      <c r="F18" s="38"/>
    </row>
    <row r="19" spans="2:21" ht="15" thickBot="1" x14ac:dyDescent="0.35">
      <c r="H19" s="30" t="s">
        <v>34</v>
      </c>
      <c r="J19" s="43">
        <v>0.1</v>
      </c>
      <c r="K19" s="38">
        <f>'BS . Avec prov'!E43*'1. Calcul Avec prov'!J19</f>
        <v>399.76260098666665</v>
      </c>
    </row>
    <row r="20" spans="2:21" ht="15" thickBot="1" x14ac:dyDescent="0.35"/>
    <row r="21" spans="2:21" ht="15" thickBot="1" x14ac:dyDescent="0.35">
      <c r="H21" s="30" t="s">
        <v>35</v>
      </c>
      <c r="J21" s="97">
        <v>198</v>
      </c>
    </row>
    <row r="22" spans="2:21" ht="15" thickBot="1" x14ac:dyDescent="0.35">
      <c r="M22" s="1"/>
      <c r="O22" s="90"/>
    </row>
    <row r="23" spans="2:21" ht="15" thickBot="1" x14ac:dyDescent="0.35">
      <c r="H23" s="30" t="s">
        <v>36</v>
      </c>
      <c r="J23" s="110" t="s">
        <v>33</v>
      </c>
      <c r="N23" s="34"/>
      <c r="O23" s="90"/>
    </row>
    <row r="24" spans="2:21" ht="15" thickBot="1" x14ac:dyDescent="0.35">
      <c r="B24" s="1"/>
      <c r="M24" s="34" t="s">
        <v>37</v>
      </c>
      <c r="N24" s="90"/>
    </row>
    <row r="25" spans="2:21" ht="15" thickBot="1" x14ac:dyDescent="0.35">
      <c r="H25" s="30" t="s">
        <v>38</v>
      </c>
      <c r="J25" s="177">
        <v>77077</v>
      </c>
      <c r="M25" s="92" t="e">
        <f>VLOOKUP(J25,#REF!,2,FALSE)</f>
        <v>#REF!</v>
      </c>
    </row>
    <row r="26" spans="2:21" x14ac:dyDescent="0.3">
      <c r="J26" s="173"/>
      <c r="M26" s="92" t="e">
        <f>VLOOKUP(J25,#REF!,3,FALSE)</f>
        <v>#REF!</v>
      </c>
    </row>
    <row r="27" spans="2:21" x14ac:dyDescent="0.3">
      <c r="J27" s="173"/>
      <c r="M27" t="e">
        <f>VLOOKUP(J25,#REF!,8,FALSE)</f>
        <v>#REF!</v>
      </c>
      <c r="N27" s="176" t="s">
        <v>39</v>
      </c>
      <c r="O27" s="91"/>
    </row>
    <row r="28" spans="2:21" x14ac:dyDescent="0.3">
      <c r="J28" s="174" t="s">
        <v>40</v>
      </c>
      <c r="K28" s="174"/>
      <c r="L28" s="174"/>
      <c r="M28" s="174"/>
      <c r="N28" s="174"/>
      <c r="O28" s="174"/>
    </row>
    <row r="29" spans="2:21" x14ac:dyDescent="0.3">
      <c r="J29" s="175" t="s">
        <v>41</v>
      </c>
    </row>
    <row r="31" spans="2:21" x14ac:dyDescent="0.3">
      <c r="U31" t="s">
        <v>10</v>
      </c>
    </row>
  </sheetData>
  <dataValidations count="3">
    <dataValidation type="decimal" errorStyle="warning" allowBlank="1" showInputMessage="1" showErrorMessage="1" errorTitle="TJM trop faible" error="Le TJM ne doit pas être inférieur à 290 € pour un cadre en forfait jour" sqref="J4" xr:uid="{00000000-0002-0000-0100-000000000000}">
      <formula1>290</formula1>
      <formula2>3000</formula2>
    </dataValidation>
    <dataValidation type="list" allowBlank="1" showInputMessage="1" showErrorMessage="1" sqref="J23" xr:uid="{00000000-0002-0000-0100-000001000000}">
      <formula1>"Oui,Non"</formula1>
    </dataValidation>
    <dataValidation operator="lessThan" allowBlank="1" showInputMessage="1" error="le TJM d'un CDD ne peut être inférieur à 250 €" prompt="le TJM d'un CDD ne peut être inférieur à 250 €" sqref="J10" xr:uid="{AA572F77-EE88-469D-B8FF-EEBBB96C2F8C}"/>
  </dataValidations>
  <hyperlinks>
    <hyperlink ref="J29" r:id="rId1" xr:uid="{36D5D1C4-CC02-42EF-85E2-3A063B5DA5DA}"/>
  </hyperlinks>
  <pageMargins left="0.7" right="0.7" top="0.75" bottom="0.75" header="0.3" footer="0.3"/>
  <pageSetup paperSize="9" orientation="portrait" r:id="rId2"/>
  <customProperties>
    <customPr name="OrphanNamesChecked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TJM">
                <anchor moveWithCells="1" sizeWithCells="1">
                  <from>
                    <xdr:col>12</xdr:col>
                    <xdr:colOff>182880</xdr:colOff>
                    <xdr:row>1</xdr:row>
                    <xdr:rowOff>38100</xdr:rowOff>
                  </from>
                  <to>
                    <xdr:col>14</xdr:col>
                    <xdr:colOff>342900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'BS . Avec prov'!$K$31:$K$32</xm:f>
          </x14:formula1>
          <xm:sqref>J17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 tint="0.39997558519241921"/>
  </sheetPr>
  <dimension ref="A2:U34"/>
  <sheetViews>
    <sheetView showGridLines="0" zoomScale="110" zoomScaleNormal="110" workbookViewId="0">
      <selection activeCell="J9" sqref="J9"/>
    </sheetView>
  </sheetViews>
  <sheetFormatPr baseColWidth="10" defaultColWidth="8.5546875" defaultRowHeight="14.4" x14ac:dyDescent="0.3"/>
  <cols>
    <col min="1" max="1" width="18.109375" bestFit="1" customWidth="1"/>
    <col min="2" max="2" width="13.88671875" bestFit="1" customWidth="1"/>
    <col min="3" max="3" width="9.5546875" bestFit="1" customWidth="1"/>
    <col min="4" max="5" width="0" hidden="1" customWidth="1"/>
    <col min="6" max="6" width="8.5546875" hidden="1" customWidth="1"/>
    <col min="8" max="8" width="24.5546875" bestFit="1" customWidth="1"/>
    <col min="10" max="10" width="17" customWidth="1"/>
    <col min="13" max="13" width="10.5546875" bestFit="1" customWidth="1"/>
  </cols>
  <sheetData>
    <row r="2" spans="1:21" x14ac:dyDescent="0.3">
      <c r="U2" s="29">
        <v>21.67</v>
      </c>
    </row>
    <row r="3" spans="1:21" ht="15" thickBot="1" x14ac:dyDescent="0.35"/>
    <row r="4" spans="1:21" ht="15" thickBot="1" x14ac:dyDescent="0.35">
      <c r="A4" s="30" t="s">
        <v>11</v>
      </c>
      <c r="B4" s="35">
        <v>66434.968145747189</v>
      </c>
      <c r="C4" s="34" t="s">
        <v>12</v>
      </c>
      <c r="H4" s="30" t="s">
        <v>13</v>
      </c>
      <c r="J4" s="33">
        <f>'1. Calcul Avec prov'!J4</f>
        <v>500</v>
      </c>
    </row>
    <row r="5" spans="1:21" ht="15" thickBot="1" x14ac:dyDescent="0.35">
      <c r="A5" s="30" t="s">
        <v>11</v>
      </c>
      <c r="B5" s="35">
        <f>B4/12</f>
        <v>5536.2473454789324</v>
      </c>
      <c r="C5" s="34" t="s">
        <v>14</v>
      </c>
      <c r="F5" s="28"/>
      <c r="H5" s="30" t="s">
        <v>15</v>
      </c>
      <c r="J5" s="33">
        <f>'1. Calcul Avec prov'!J5</f>
        <v>18</v>
      </c>
    </row>
    <row r="6" spans="1:21" ht="15" thickBot="1" x14ac:dyDescent="0.35">
      <c r="A6" s="30" t="s">
        <v>16</v>
      </c>
      <c r="B6" s="35">
        <f>'BS . Sans prov'!E42</f>
        <v>1186.5401848683246</v>
      </c>
      <c r="H6" s="30" t="s">
        <v>17</v>
      </c>
      <c r="J6" s="33">
        <f>J4*J5</f>
        <v>9000</v>
      </c>
      <c r="K6" s="34" t="s">
        <v>14</v>
      </c>
      <c r="M6" s="32">
        <f>J6*12</f>
        <v>108000</v>
      </c>
      <c r="N6" s="34" t="s">
        <v>12</v>
      </c>
    </row>
    <row r="7" spans="1:21" ht="15" thickBot="1" x14ac:dyDescent="0.35">
      <c r="A7" s="30" t="s">
        <v>18</v>
      </c>
      <c r="B7" s="35" t="e">
        <f>'BS . Sans prov'!G42</f>
        <v>#REF!</v>
      </c>
      <c r="H7" s="30" t="s">
        <v>19</v>
      </c>
      <c r="J7" s="127">
        <f>'1. Calcul Avec prov'!J7</f>
        <v>0.08</v>
      </c>
      <c r="M7" s="32">
        <f>J6*J7</f>
        <v>720</v>
      </c>
      <c r="N7" s="34" t="s">
        <v>20</v>
      </c>
    </row>
    <row r="8" spans="1:21" ht="15" thickBot="1" x14ac:dyDescent="0.35">
      <c r="H8" s="30" t="s">
        <v>21</v>
      </c>
      <c r="J8" s="127">
        <v>0</v>
      </c>
      <c r="M8" s="32">
        <f>J8*J6</f>
        <v>0</v>
      </c>
      <c r="N8" s="34" t="s">
        <v>20</v>
      </c>
    </row>
    <row r="9" spans="1:21" ht="15" thickBot="1" x14ac:dyDescent="0.35">
      <c r="A9" s="30" t="s">
        <v>22</v>
      </c>
      <c r="B9" s="36">
        <f>'BS . Sans prov'!E44</f>
        <v>4250.7071606106074</v>
      </c>
      <c r="H9" s="30" t="s">
        <v>23</v>
      </c>
      <c r="J9" s="31">
        <v>0</v>
      </c>
      <c r="M9" s="32">
        <f>J6*J9</f>
        <v>0</v>
      </c>
      <c r="N9" s="34" t="s">
        <v>20</v>
      </c>
    </row>
    <row r="10" spans="1:21" ht="15" thickBot="1" x14ac:dyDescent="0.35">
      <c r="A10" s="30" t="s">
        <v>24</v>
      </c>
      <c r="B10" s="36" t="e">
        <f>B5+B7+M7+J10+M8+M11+M9+M12+M22</f>
        <v>#REF!</v>
      </c>
      <c r="C10" s="34" t="s">
        <v>14</v>
      </c>
      <c r="H10" s="30" t="s">
        <v>26</v>
      </c>
      <c r="J10" s="33">
        <v>198</v>
      </c>
    </row>
    <row r="11" spans="1:21" ht="15" thickBot="1" x14ac:dyDescent="0.35">
      <c r="B11" s="32" t="e">
        <f>B10*12</f>
        <v>#REF!</v>
      </c>
      <c r="C11" s="34" t="s">
        <v>12</v>
      </c>
      <c r="H11" s="30" t="s">
        <v>28</v>
      </c>
      <c r="J11" s="96">
        <f>'1. Calcul Avec prov'!J12</f>
        <v>0</v>
      </c>
      <c r="M11" s="32">
        <f>J11</f>
        <v>0</v>
      </c>
      <c r="N11" s="34" t="s">
        <v>20</v>
      </c>
    </row>
    <row r="12" spans="1:21" ht="15" thickBot="1" x14ac:dyDescent="0.35">
      <c r="B12" s="32" t="e">
        <f>B10/J5</f>
        <v>#REF!</v>
      </c>
      <c r="C12" s="34" t="s">
        <v>27</v>
      </c>
      <c r="H12" s="30" t="s">
        <v>29</v>
      </c>
      <c r="J12" s="96">
        <f>J20/2</f>
        <v>99</v>
      </c>
      <c r="M12" s="32">
        <f>J12</f>
        <v>99</v>
      </c>
      <c r="N12" s="34" t="s">
        <v>20</v>
      </c>
    </row>
    <row r="13" spans="1:21" ht="15" thickBot="1" x14ac:dyDescent="0.35">
      <c r="H13" s="30" t="s">
        <v>30</v>
      </c>
      <c r="J13" s="32">
        <f>J6-M7-M8-J10-M11-M9-M12-M22</f>
        <v>7983</v>
      </c>
    </row>
    <row r="14" spans="1:21" ht="15" thickBot="1" x14ac:dyDescent="0.35">
      <c r="F14" s="38"/>
      <c r="H14" s="30" t="s">
        <v>31</v>
      </c>
      <c r="J14" s="32">
        <f>J13+J10+M7+M11+M8+M9+M12+M22</f>
        <v>9000</v>
      </c>
    </row>
    <row r="15" spans="1:21" ht="15" thickBot="1" x14ac:dyDescent="0.35">
      <c r="F15" s="38"/>
    </row>
    <row r="16" spans="1:21" ht="15" thickBot="1" x14ac:dyDescent="0.35">
      <c r="F16" s="38"/>
      <c r="H16" s="30" t="s">
        <v>32</v>
      </c>
      <c r="J16" s="123" t="str">
        <f>'1. Calcul Avec prov'!J17</f>
        <v>Oui</v>
      </c>
      <c r="M16" s="32">
        <f>VLOOKUP(J16,TabMutuelle[],2,FALSE)</f>
        <v>30</v>
      </c>
      <c r="N16" s="34" t="s">
        <v>20</v>
      </c>
    </row>
    <row r="17" spans="6:14" ht="15" thickBot="1" x14ac:dyDescent="0.35"/>
    <row r="18" spans="6:14" ht="15" thickBot="1" x14ac:dyDescent="0.35">
      <c r="F18" s="38"/>
      <c r="H18" s="30" t="s">
        <v>34</v>
      </c>
      <c r="J18" s="31">
        <f>'1. Calcul Avec prov'!J19</f>
        <v>0.1</v>
      </c>
      <c r="K18" s="38">
        <f>'BS . Sans prov'!E44*'2. Calcul Sans prov'!J18</f>
        <v>425.07071606106075</v>
      </c>
    </row>
    <row r="19" spans="6:14" ht="15" thickBot="1" x14ac:dyDescent="0.35"/>
    <row r="20" spans="6:14" ht="15" thickBot="1" x14ac:dyDescent="0.35">
      <c r="H20" s="30" t="s">
        <v>35</v>
      </c>
      <c r="J20" s="32">
        <f>'1. Calcul Avec prov'!J21</f>
        <v>198</v>
      </c>
    </row>
    <row r="21" spans="6:14" ht="15" thickBot="1" x14ac:dyDescent="0.35"/>
    <row r="22" spans="6:14" ht="15" thickBot="1" x14ac:dyDescent="0.35">
      <c r="H22" s="30" t="s">
        <v>36</v>
      </c>
      <c r="J22" s="111" t="str">
        <f>'1. Calcul Avec prov'!J23</f>
        <v>Oui</v>
      </c>
      <c r="N22" s="34"/>
    </row>
    <row r="34" spans="21:21" x14ac:dyDescent="0.3">
      <c r="U34" t="s">
        <v>10</v>
      </c>
    </row>
  </sheetData>
  <pageMargins left="0.7" right="0.7" top="0.75" bottom="0.75" header="0.3" footer="0.3"/>
  <pageSetup paperSize="9" orientation="portrait" r:id="rId1"/>
  <customProperties>
    <customPr name="OrphanNamesChecke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TJM">
                <anchor moveWithCells="1" sizeWithCells="1">
                  <from>
                    <xdr:col>12</xdr:col>
                    <xdr:colOff>182880</xdr:colOff>
                    <xdr:row>1</xdr:row>
                    <xdr:rowOff>38100</xdr:rowOff>
                  </from>
                  <to>
                    <xdr:col>14</xdr:col>
                    <xdr:colOff>342900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'BS . Avec prov'!$K$31:$K$32</xm:f>
          </x14:formula1>
          <xm:sqref>J16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>
    <tabColor theme="4" tint="-0.249977111117893"/>
    <pageSetUpPr fitToPage="1"/>
  </sheetPr>
  <dimension ref="A1:BK34"/>
  <sheetViews>
    <sheetView showGridLines="0" topLeftCell="A21" zoomScale="91" zoomScaleNormal="130" workbookViewId="0">
      <selection activeCell="E43" sqref="E43"/>
    </sheetView>
  </sheetViews>
  <sheetFormatPr baseColWidth="10" defaultColWidth="10.88671875" defaultRowHeight="14.4" x14ac:dyDescent="0.3"/>
  <cols>
    <col min="1" max="1" width="1.44140625" style="44" customWidth="1"/>
    <col min="2" max="2" width="44.5546875" style="44" customWidth="1"/>
    <col min="3" max="3" width="20.44140625" style="44" bestFit="1" customWidth="1"/>
    <col min="4" max="4" width="16" style="44" customWidth="1"/>
    <col min="5" max="5" width="16.44140625" style="44" customWidth="1"/>
    <col min="6" max="6" width="26" style="183" customWidth="1"/>
    <col min="7" max="7" width="13.5546875" style="183" customWidth="1"/>
    <col min="8" max="63" width="10.88671875" style="183"/>
    <col min="64" max="16384" width="10.88671875" style="44"/>
  </cols>
  <sheetData>
    <row r="1" spans="1:6" ht="49.35" customHeight="1" x14ac:dyDescent="0.3">
      <c r="F1" s="183" t="s">
        <v>10</v>
      </c>
    </row>
    <row r="2" spans="1:6" ht="15" customHeight="1" x14ac:dyDescent="0.3">
      <c r="B2" s="188" t="s">
        <v>42</v>
      </c>
      <c r="C2" s="188"/>
      <c r="D2" s="188"/>
      <c r="E2" s="188"/>
    </row>
    <row r="3" spans="1:6" ht="23.4" customHeight="1" x14ac:dyDescent="0.3">
      <c r="B3" s="189"/>
      <c r="C3" s="189"/>
      <c r="D3" s="189"/>
      <c r="E3" s="189"/>
    </row>
    <row r="4" spans="1:6" ht="25.35" customHeight="1" x14ac:dyDescent="0.3">
      <c r="B4" s="184" t="s">
        <v>43</v>
      </c>
      <c r="C4" s="185"/>
      <c r="D4" s="86"/>
      <c r="E4" s="135" t="s">
        <v>44</v>
      </c>
    </row>
    <row r="5" spans="1:6" x14ac:dyDescent="0.3">
      <c r="B5" s="45" t="s">
        <v>13</v>
      </c>
      <c r="C5" s="190">
        <f>'1. Calcul Avec prov'!J4</f>
        <v>500</v>
      </c>
      <c r="D5" s="190"/>
      <c r="E5" s="87"/>
    </row>
    <row r="6" spans="1:6" x14ac:dyDescent="0.3">
      <c r="B6" s="46" t="s">
        <v>45</v>
      </c>
      <c r="C6" s="191">
        <f>'1. Calcul Avec prov'!J5</f>
        <v>18</v>
      </c>
      <c r="D6" s="191"/>
      <c r="E6" s="129"/>
    </row>
    <row r="7" spans="1:6" x14ac:dyDescent="0.3">
      <c r="A7" s="47"/>
      <c r="B7" s="147" t="s">
        <v>46</v>
      </c>
      <c r="C7" s="148"/>
      <c r="D7" s="149"/>
      <c r="E7" s="150">
        <f>'1. Calcul Avec prov'!J6</f>
        <v>9000</v>
      </c>
    </row>
    <row r="8" spans="1:6" x14ac:dyDescent="0.3">
      <c r="B8" s="48" t="s">
        <v>19</v>
      </c>
      <c r="C8" s="49"/>
      <c r="D8" s="50"/>
      <c r="E8" s="129">
        <f>'1. Calcul Avec prov'!M7+'1. Calcul Avec prov'!M23</f>
        <v>720</v>
      </c>
    </row>
    <row r="9" spans="1:6" x14ac:dyDescent="0.3">
      <c r="B9" s="94" t="s">
        <v>47</v>
      </c>
      <c r="D9" s="186">
        <f>'1. Calcul Avec prov'!J7</f>
        <v>0.08</v>
      </c>
      <c r="E9" s="187"/>
    </row>
    <row r="10" spans="1:6" x14ac:dyDescent="0.3">
      <c r="B10" s="94" t="s">
        <v>36</v>
      </c>
      <c r="D10" s="108"/>
      <c r="E10" s="109" t="str">
        <f>'1. Calcul Avec prov'!J23</f>
        <v>Oui</v>
      </c>
    </row>
    <row r="11" spans="1:6" x14ac:dyDescent="0.3">
      <c r="A11" s="47"/>
      <c r="B11" s="52" t="s">
        <v>48</v>
      </c>
      <c r="C11" s="51"/>
      <c r="D11" s="50"/>
      <c r="E11" s="129">
        <f>'1. Calcul Avec prov'!J11</f>
        <v>198</v>
      </c>
    </row>
    <row r="12" spans="1:6" x14ac:dyDescent="0.3">
      <c r="B12" s="52"/>
      <c r="C12" s="51"/>
      <c r="D12" s="50"/>
      <c r="E12" s="129"/>
    </row>
    <row r="13" spans="1:6" x14ac:dyDescent="0.3">
      <c r="A13" s="179"/>
      <c r="B13" s="51" t="s">
        <v>32</v>
      </c>
      <c r="C13" s="51"/>
      <c r="D13" s="50"/>
      <c r="E13" s="180" t="str">
        <f>'1. Calcul Avec prov'!J17</f>
        <v>Oui</v>
      </c>
    </row>
    <row r="14" spans="1:6" x14ac:dyDescent="0.3">
      <c r="A14" s="179"/>
      <c r="B14" s="94" t="s">
        <v>49</v>
      </c>
      <c r="C14" s="51"/>
      <c r="D14" s="50"/>
      <c r="E14" s="129">
        <f>'1. Calcul Avec prov'!M17</f>
        <v>30</v>
      </c>
    </row>
    <row r="15" spans="1:6" x14ac:dyDescent="0.3">
      <c r="A15" s="47"/>
      <c r="B15" s="52"/>
      <c r="E15" s="129"/>
    </row>
    <row r="16" spans="1:6" x14ac:dyDescent="0.3">
      <c r="B16" s="52" t="s">
        <v>28</v>
      </c>
      <c r="D16" s="88"/>
      <c r="E16" s="129">
        <f>'1. Calcul Avec prov'!M12</f>
        <v>0</v>
      </c>
    </row>
    <row r="17" spans="1:63" ht="11.4" customHeight="1" x14ac:dyDescent="0.3">
      <c r="A17" s="47"/>
      <c r="B17" s="52"/>
      <c r="E17" s="129"/>
    </row>
    <row r="18" spans="1:63" x14ac:dyDescent="0.3">
      <c r="A18" s="47"/>
      <c r="B18" s="52" t="s">
        <v>50</v>
      </c>
      <c r="D18" s="88"/>
      <c r="E18" s="129">
        <f>'1. Calcul Avec prov'!J13</f>
        <v>99</v>
      </c>
    </row>
    <row r="19" spans="1:63" ht="10.95" customHeight="1" x14ac:dyDescent="0.3">
      <c r="A19" s="47"/>
      <c r="B19" s="52"/>
      <c r="E19" s="129"/>
    </row>
    <row r="20" spans="1:63" s="151" customFormat="1" x14ac:dyDescent="0.3">
      <c r="B20" s="142" t="s">
        <v>51</v>
      </c>
      <c r="C20" s="44"/>
      <c r="D20" s="88"/>
      <c r="E20" s="130">
        <f>'1. Calcul Avec prov'!M8+'1. Calcul Avec prov'!M9+'1. Calcul Avec prov'!M10</f>
        <v>889.36363636363637</v>
      </c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3"/>
      <c r="Z20" s="183"/>
      <c r="AA20" s="183"/>
      <c r="AB20" s="183"/>
      <c r="AC20" s="183"/>
      <c r="AD20" s="183"/>
      <c r="AE20" s="183"/>
      <c r="AF20" s="183"/>
      <c r="AG20" s="183"/>
      <c r="AH20" s="183"/>
      <c r="AI20" s="183"/>
      <c r="AJ20" s="183"/>
      <c r="AK20" s="183"/>
      <c r="AL20" s="183"/>
      <c r="AM20" s="183"/>
      <c r="AN20" s="183"/>
      <c r="AO20" s="183"/>
      <c r="AP20" s="183"/>
      <c r="AQ20" s="183"/>
      <c r="AR20" s="183"/>
      <c r="AS20" s="183"/>
      <c r="AT20" s="183"/>
      <c r="AU20" s="183"/>
      <c r="AV20" s="183"/>
      <c r="AW20" s="183"/>
      <c r="AX20" s="183"/>
      <c r="AY20" s="183"/>
      <c r="AZ20" s="183"/>
      <c r="BA20" s="183"/>
      <c r="BB20" s="183"/>
      <c r="BC20" s="183"/>
      <c r="BD20" s="183"/>
      <c r="BE20" s="183"/>
      <c r="BF20" s="183"/>
      <c r="BG20" s="183"/>
      <c r="BH20" s="183"/>
      <c r="BI20" s="183"/>
      <c r="BJ20" s="183"/>
      <c r="BK20" s="183"/>
    </row>
    <row r="21" spans="1:63" x14ac:dyDescent="0.3">
      <c r="A21" s="168"/>
      <c r="B21" s="94" t="s">
        <v>52</v>
      </c>
      <c r="E21" s="131">
        <f>'1. Calcul Avec prov'!J8+'1. Calcul Avec prov'!J9+'1. Calcul Avec prov'!J10</f>
        <v>0.12000000000000001</v>
      </c>
    </row>
    <row r="22" spans="1:63" s="157" customFormat="1" ht="18.600000000000001" customHeight="1" x14ac:dyDescent="0.3">
      <c r="A22" s="156"/>
      <c r="B22" s="142" t="s">
        <v>30</v>
      </c>
      <c r="C22" s="44"/>
      <c r="D22" s="88"/>
      <c r="E22" s="53">
        <f>'1. Calcul Avec prov'!J14</f>
        <v>7093.636363636364</v>
      </c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83"/>
      <c r="AF22" s="183"/>
      <c r="AG22" s="183"/>
      <c r="AH22" s="183"/>
      <c r="AI22" s="183"/>
      <c r="AJ22" s="183"/>
      <c r="AK22" s="183"/>
      <c r="AL22" s="183"/>
      <c r="AM22" s="183"/>
      <c r="AN22" s="183"/>
      <c r="AO22" s="183"/>
      <c r="AP22" s="183"/>
      <c r="AQ22" s="183"/>
      <c r="AR22" s="183"/>
      <c r="AS22" s="183"/>
      <c r="AT22" s="183"/>
      <c r="AU22" s="183"/>
      <c r="AV22" s="183"/>
      <c r="AW22" s="183"/>
      <c r="AX22" s="183"/>
      <c r="AY22" s="183"/>
      <c r="AZ22" s="183"/>
      <c r="BA22" s="183"/>
      <c r="BB22" s="183"/>
      <c r="BC22" s="183"/>
      <c r="BD22" s="183"/>
      <c r="BE22" s="183"/>
      <c r="BF22" s="183"/>
      <c r="BG22" s="183"/>
      <c r="BH22" s="183"/>
      <c r="BI22" s="183"/>
      <c r="BJ22" s="183"/>
      <c r="BK22" s="183"/>
    </row>
    <row r="23" spans="1:63" ht="13.2" customHeight="1" x14ac:dyDescent="0.3">
      <c r="B23" s="152" t="s">
        <v>53</v>
      </c>
      <c r="C23" s="153"/>
      <c r="D23" s="154"/>
      <c r="E23" s="155">
        <f>'1. Calcul Avec prov'!B5</f>
        <v>4916.666666666667</v>
      </c>
    </row>
    <row r="24" spans="1:63" x14ac:dyDescent="0.3">
      <c r="A24" s="47"/>
      <c r="B24" s="165" t="s">
        <v>54</v>
      </c>
      <c r="C24" s="166"/>
      <c r="D24" s="167"/>
      <c r="E24" s="169">
        <f>'2. Calcul Sans prov'!B5</f>
        <v>5536.2473454789324</v>
      </c>
    </row>
    <row r="25" spans="1:63" x14ac:dyDescent="0.3">
      <c r="B25" s="138" t="s">
        <v>55</v>
      </c>
      <c r="C25" s="164"/>
      <c r="D25" s="164"/>
      <c r="E25" s="132" t="e">
        <f>'BS . Avec prov'!G42</f>
        <v>#REF!</v>
      </c>
    </row>
    <row r="26" spans="1:63" x14ac:dyDescent="0.3">
      <c r="A26" s="95"/>
      <c r="B26" s="143" t="s">
        <v>56</v>
      </c>
      <c r="C26" s="144"/>
      <c r="D26" s="145"/>
      <c r="E26" s="146">
        <f>'BS . Avec prov'!E46</f>
        <v>3756.3385944666661</v>
      </c>
    </row>
    <row r="27" spans="1:63" x14ac:dyDescent="0.3">
      <c r="A27" s="95"/>
      <c r="B27" s="94" t="s">
        <v>57</v>
      </c>
      <c r="C27" s="95"/>
      <c r="D27" s="133"/>
      <c r="E27" s="136">
        <f>'BS . Avec prov'!E42+'3. Template'!E18</f>
        <v>1160.3280722</v>
      </c>
    </row>
    <row r="28" spans="1:63" x14ac:dyDescent="0.3">
      <c r="A28" s="179"/>
      <c r="B28" s="51" t="s">
        <v>58</v>
      </c>
      <c r="C28" s="95"/>
      <c r="D28" s="133"/>
      <c r="E28" s="137">
        <f>'BS . Avec prov'!E47+'BS . Avec prov'!E48</f>
        <v>198</v>
      </c>
    </row>
    <row r="29" spans="1:63" x14ac:dyDescent="0.3">
      <c r="B29" s="143" t="s">
        <v>59</v>
      </c>
      <c r="C29" s="144"/>
      <c r="D29" s="145"/>
      <c r="E29" s="146">
        <f>E26+E28</f>
        <v>3954.3385944666661</v>
      </c>
    </row>
    <row r="30" spans="1:63" ht="23.1" customHeight="1" x14ac:dyDescent="0.3">
      <c r="A30" s="179"/>
      <c r="B30" s="139" t="s">
        <v>60</v>
      </c>
      <c r="C30" s="140"/>
      <c r="D30" s="134"/>
      <c r="E30" s="141">
        <f>'BS . Avec prov'!E51</f>
        <v>494.36856614394128</v>
      </c>
    </row>
    <row r="31" spans="1:63" ht="13.95" customHeight="1" x14ac:dyDescent="0.3">
      <c r="B31" s="158"/>
      <c r="C31" s="159"/>
      <c r="D31" s="160"/>
      <c r="E31" s="159"/>
    </row>
    <row r="32" spans="1:63" x14ac:dyDescent="0.3">
      <c r="B32" s="161" t="s">
        <v>61</v>
      </c>
      <c r="C32" s="162"/>
      <c r="D32" s="163"/>
      <c r="E32" s="170">
        <f>(E30+E29)/(E7-E8-E11)</f>
        <v>0.55044632029331941</v>
      </c>
    </row>
    <row r="33" spans="2:5" ht="9.6" customHeight="1" thickBot="1" x14ac:dyDescent="0.35">
      <c r="B33" s="51"/>
    </row>
    <row r="34" spans="2:5" ht="24" customHeight="1" thickBot="1" x14ac:dyDescent="0.35">
      <c r="B34" s="181" t="s">
        <v>62</v>
      </c>
      <c r="C34" s="182"/>
      <c r="D34" s="182"/>
      <c r="E34" s="182"/>
    </row>
  </sheetData>
  <mergeCells count="7">
    <mergeCell ref="B34:E34"/>
    <mergeCell ref="F1:BK1048576"/>
    <mergeCell ref="B4:C4"/>
    <mergeCell ref="D9:E9"/>
    <mergeCell ref="B2:E3"/>
    <mergeCell ref="C5:D5"/>
    <mergeCell ref="C6:D6"/>
  </mergeCells>
  <pageMargins left="1" right="1" top="1" bottom="1" header="0.5" footer="0.5"/>
  <pageSetup scale="67" orientation="portrait" r:id="rId1"/>
  <customProperties>
    <customPr name="OrphanNamesChecked" r:id="rId2"/>
  </customPropertie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8D037-D13B-48F4-B798-520AC2DD0849}">
  <sheetPr codeName="Feuil3">
    <tabColor theme="5" tint="0.79998168889431442"/>
  </sheetPr>
  <dimension ref="A1"/>
  <sheetViews>
    <sheetView workbookViewId="0">
      <selection activeCell="A3" sqref="A3"/>
    </sheetView>
  </sheetViews>
  <sheetFormatPr baseColWidth="10" defaultColWidth="11.44140625"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/>
  </sheetPr>
  <dimension ref="A1:Z63"/>
  <sheetViews>
    <sheetView showGridLines="0" topLeftCell="A30" zoomScaleNormal="100" workbookViewId="0">
      <selection activeCell="E45" sqref="E45"/>
    </sheetView>
  </sheetViews>
  <sheetFormatPr baseColWidth="10" defaultColWidth="8.5546875" defaultRowHeight="14.4" x14ac:dyDescent="0.3"/>
  <cols>
    <col min="1" max="1" width="7" customWidth="1"/>
    <col min="2" max="2" width="42.44140625" customWidth="1"/>
    <col min="3" max="4" width="9.44140625" bestFit="1" customWidth="1"/>
    <col min="5" max="5" width="11.44140625" bestFit="1" customWidth="1"/>
    <col min="6" max="6" width="8.44140625" customWidth="1"/>
    <col min="7" max="7" width="10.44140625" customWidth="1"/>
    <col min="9" max="9" width="27.5546875" hidden="1" customWidth="1"/>
    <col min="10" max="10" width="11.5546875" hidden="1" customWidth="1"/>
    <col min="11" max="11" width="17.44140625" hidden="1" customWidth="1"/>
    <col min="12" max="13" width="12" hidden="1" customWidth="1"/>
    <col min="14" max="14" width="12.5546875" hidden="1" customWidth="1"/>
    <col min="15" max="15" width="12.5546875" customWidth="1"/>
    <col min="16" max="16" width="11.5546875" customWidth="1"/>
    <col min="17" max="17" width="12" customWidth="1"/>
    <col min="18" max="18" width="17" customWidth="1"/>
    <col min="19" max="19" width="9.5546875" customWidth="1"/>
    <col min="20" max="20" width="12" customWidth="1"/>
    <col min="21" max="21" width="12.5546875" customWidth="1"/>
    <col min="22" max="22" width="9.5546875" customWidth="1"/>
    <col min="23" max="23" width="27.44140625" bestFit="1" customWidth="1"/>
    <col min="24" max="24" width="9" bestFit="1" customWidth="1"/>
  </cols>
  <sheetData>
    <row r="1" spans="1:26" x14ac:dyDescent="0.3">
      <c r="A1" s="197" t="s">
        <v>63</v>
      </c>
      <c r="B1" s="198"/>
      <c r="C1" s="198"/>
      <c r="D1" s="198"/>
      <c r="E1" s="198"/>
      <c r="F1" s="198"/>
      <c r="G1" s="198"/>
    </row>
    <row r="2" spans="1:26" x14ac:dyDescent="0.3">
      <c r="A2" t="s">
        <v>64</v>
      </c>
      <c r="C2" s="105">
        <v>11.65</v>
      </c>
      <c r="G2" s="1"/>
      <c r="J2" s="104"/>
    </row>
    <row r="3" spans="1:26" x14ac:dyDescent="0.3">
      <c r="C3" s="197" t="s">
        <v>65</v>
      </c>
      <c r="D3" s="198"/>
      <c r="E3" s="198"/>
      <c r="F3" s="198"/>
      <c r="G3" s="199"/>
    </row>
    <row r="4" spans="1:26" ht="28.8" x14ac:dyDescent="0.3">
      <c r="A4" s="2" t="s">
        <v>66</v>
      </c>
      <c r="B4" s="2" t="s">
        <v>67</v>
      </c>
      <c r="C4" s="2" t="s">
        <v>68</v>
      </c>
      <c r="D4" s="2" t="s">
        <v>69</v>
      </c>
      <c r="E4" s="2" t="s">
        <v>70</v>
      </c>
      <c r="F4" s="2"/>
      <c r="G4" s="2"/>
    </row>
    <row r="5" spans="1:26" x14ac:dyDescent="0.3">
      <c r="A5" s="3"/>
      <c r="B5" s="8" t="s">
        <v>71</v>
      </c>
      <c r="C5" s="85">
        <f>'1. Calcul Avec prov'!J5</f>
        <v>18</v>
      </c>
      <c r="D5" s="64">
        <f>+E5/C5</f>
        <v>273.14814814814815</v>
      </c>
      <c r="E5" s="20">
        <f>'1. Calcul Avec prov'!B5</f>
        <v>4916.666666666667</v>
      </c>
      <c r="F5" s="20"/>
      <c r="G5" s="8" t="s">
        <v>72</v>
      </c>
      <c r="W5" s="3" t="s">
        <v>73</v>
      </c>
      <c r="X5" s="4">
        <v>213</v>
      </c>
      <c r="Y5" s="4"/>
      <c r="Z5" s="5" t="s">
        <v>72</v>
      </c>
    </row>
    <row r="6" spans="1:26" x14ac:dyDescent="0.3">
      <c r="A6" s="3"/>
      <c r="B6" s="3" t="s">
        <v>74</v>
      </c>
      <c r="C6" s="84">
        <f>'1. Calcul Avec prov'!J5</f>
        <v>18</v>
      </c>
      <c r="D6" s="4">
        <f>(X5*0.85)/1.1/1.05</f>
        <v>156.75324675324671</v>
      </c>
      <c r="E6" s="4">
        <f>+C6*D6</f>
        <v>2821.5584415584408</v>
      </c>
      <c r="F6" s="4"/>
      <c r="G6" s="5"/>
      <c r="W6" s="3" t="s">
        <v>75</v>
      </c>
      <c r="X6" s="4">
        <v>3864</v>
      </c>
      <c r="Y6" s="4"/>
      <c r="Z6" s="5" t="s">
        <v>72</v>
      </c>
    </row>
    <row r="7" spans="1:26" x14ac:dyDescent="0.3">
      <c r="A7" s="3"/>
      <c r="B7" s="3" t="s">
        <v>76</v>
      </c>
      <c r="C7" s="84">
        <f>'1. Calcul Avec prov'!J5</f>
        <v>18</v>
      </c>
      <c r="D7" s="4">
        <f>(D5/1.1/1.05)-D6</f>
        <v>79.73865640532307</v>
      </c>
      <c r="E7" s="4">
        <f>+C7*D7</f>
        <v>1435.2958152958154</v>
      </c>
      <c r="F7" s="4"/>
      <c r="G7" s="5"/>
      <c r="W7" s="3" t="s">
        <v>77</v>
      </c>
      <c r="X7" s="4">
        <f>+IF(E10&gt;X6,X6,E10)</f>
        <v>3864</v>
      </c>
      <c r="Y7" s="4"/>
      <c r="Z7" s="5" t="s">
        <v>72</v>
      </c>
    </row>
    <row r="8" spans="1:26" x14ac:dyDescent="0.3">
      <c r="A8" s="3"/>
      <c r="B8" s="3" t="s">
        <v>78</v>
      </c>
      <c r="C8" s="84">
        <f>'1. Calcul Avec prov'!J5</f>
        <v>18</v>
      </c>
      <c r="D8" s="4">
        <f>(D6+D7)*0.05</f>
        <v>11.82459515792849</v>
      </c>
      <c r="E8" s="4">
        <f>+C8*D8</f>
        <v>212.84271284271281</v>
      </c>
      <c r="F8" s="4"/>
      <c r="G8" s="5"/>
      <c r="H8" s="19"/>
      <c r="W8" s="3" t="s">
        <v>79</v>
      </c>
      <c r="X8" s="4">
        <f>IF($E$10&lt;$X$6,0,$E$10-$X$7)</f>
        <v>1052.6666666666661</v>
      </c>
      <c r="Y8" s="4"/>
      <c r="Z8" s="5" t="s">
        <v>72</v>
      </c>
    </row>
    <row r="9" spans="1:26" x14ac:dyDescent="0.3">
      <c r="A9" s="3"/>
      <c r="B9" s="3" t="s">
        <v>80</v>
      </c>
      <c r="C9" s="84">
        <f>'1. Calcul Avec prov'!J5</f>
        <v>18</v>
      </c>
      <c r="D9" s="4">
        <f>(D8+D6+D7)*0.1</f>
        <v>24.831649831649827</v>
      </c>
      <c r="E9" s="4">
        <f>+C9*D9</f>
        <v>446.96969696969688</v>
      </c>
      <c r="F9" s="4"/>
      <c r="G9" s="5"/>
      <c r="H9" s="19"/>
      <c r="W9" s="3" t="s">
        <v>81</v>
      </c>
      <c r="X9" s="4">
        <f>151.67*C2*2.47215</f>
        <v>4368.1790393249994</v>
      </c>
      <c r="Y9" s="4"/>
      <c r="Z9" s="5" t="s">
        <v>72</v>
      </c>
    </row>
    <row r="10" spans="1:26" ht="15" customHeight="1" x14ac:dyDescent="0.3">
      <c r="A10" s="3"/>
      <c r="B10" s="8" t="s">
        <v>82</v>
      </c>
      <c r="C10" s="85">
        <f>'1. Calcul Avec prov'!J5</f>
        <v>18</v>
      </c>
      <c r="D10" s="64">
        <f>SUM(D6:D9)</f>
        <v>273.1481481481481</v>
      </c>
      <c r="E10" s="64">
        <f>SUM(E6:E9)</f>
        <v>4916.6666666666661</v>
      </c>
      <c r="F10" s="20"/>
      <c r="G10" s="8" t="s">
        <v>72</v>
      </c>
      <c r="J10" s="104"/>
    </row>
    <row r="11" spans="1:26" ht="24.6" x14ac:dyDescent="0.3">
      <c r="A11" s="73"/>
      <c r="B11" s="73"/>
      <c r="C11" s="74" t="s">
        <v>83</v>
      </c>
      <c r="D11" s="74" t="s">
        <v>84</v>
      </c>
      <c r="E11" s="74" t="s">
        <v>85</v>
      </c>
      <c r="F11" s="74" t="s">
        <v>86</v>
      </c>
      <c r="G11" s="74" t="s">
        <v>87</v>
      </c>
    </row>
    <row r="12" spans="1:26" x14ac:dyDescent="0.3">
      <c r="A12" s="67" t="s">
        <v>88</v>
      </c>
      <c r="B12" s="67" t="s">
        <v>89</v>
      </c>
      <c r="C12" s="68">
        <f>+$E$10</f>
        <v>4916.6666666666661</v>
      </c>
      <c r="D12" s="69">
        <v>0</v>
      </c>
      <c r="E12" s="68">
        <f>+C12*D12</f>
        <v>0</v>
      </c>
      <c r="F12" s="69">
        <f>IF(C12&gt;X9,13%,7%)</f>
        <v>0.13</v>
      </c>
      <c r="G12" s="68">
        <f>+C12*F12</f>
        <v>639.16666666666663</v>
      </c>
      <c r="H12" s="11" t="s">
        <v>90</v>
      </c>
    </row>
    <row r="13" spans="1:26" x14ac:dyDescent="0.3">
      <c r="A13" s="67" t="s">
        <v>91</v>
      </c>
      <c r="B13" s="67" t="s">
        <v>92</v>
      </c>
      <c r="C13" s="68">
        <f>+$E$10</f>
        <v>4916.6666666666661</v>
      </c>
      <c r="D13" s="69">
        <v>0</v>
      </c>
      <c r="E13" s="68">
        <f t="shared" ref="E13:E34" si="0">+C13*D13</f>
        <v>0</v>
      </c>
      <c r="F13" s="69">
        <v>3.0000000000000001E-3</v>
      </c>
      <c r="G13" s="68">
        <f>+C13*F13</f>
        <v>14.749999999999998</v>
      </c>
      <c r="H13" s="11" t="s">
        <v>90</v>
      </c>
    </row>
    <row r="14" spans="1:26" x14ac:dyDescent="0.3">
      <c r="A14" s="67" t="s">
        <v>93</v>
      </c>
      <c r="B14" s="67" t="s">
        <v>94</v>
      </c>
      <c r="C14" s="68">
        <f>+$E$10</f>
        <v>4916.6666666666661</v>
      </c>
      <c r="D14" s="69">
        <v>4.0000000000000001E-3</v>
      </c>
      <c r="E14" s="68">
        <f t="shared" si="0"/>
        <v>19.666666666666664</v>
      </c>
      <c r="F14" s="69">
        <v>2.0199999999999999E-2</v>
      </c>
      <c r="G14" s="68">
        <f t="shared" ref="G14:G36" si="1">+C14*F14</f>
        <v>99.316666666666649</v>
      </c>
      <c r="H14" s="11" t="s">
        <v>90</v>
      </c>
      <c r="W14" t="s">
        <v>10</v>
      </c>
    </row>
    <row r="15" spans="1:26" x14ac:dyDescent="0.3">
      <c r="A15" s="67" t="s">
        <v>95</v>
      </c>
      <c r="B15" s="67" t="s">
        <v>96</v>
      </c>
      <c r="C15" s="68">
        <f>+IF(E$10&lt;X$6,E$10,X$6)</f>
        <v>3864</v>
      </c>
      <c r="D15" s="69">
        <v>6.9000000000000006E-2</v>
      </c>
      <c r="E15" s="68">
        <f t="shared" si="0"/>
        <v>266.61600000000004</v>
      </c>
      <c r="F15" s="69">
        <v>8.5500000000000007E-2</v>
      </c>
      <c r="G15" s="68">
        <f t="shared" si="1"/>
        <v>330.37200000000001</v>
      </c>
      <c r="H15" t="s">
        <v>90</v>
      </c>
    </row>
    <row r="16" spans="1:26" x14ac:dyDescent="0.3">
      <c r="A16" s="67" t="s">
        <v>97</v>
      </c>
      <c r="B16" s="67" t="s">
        <v>98</v>
      </c>
      <c r="C16" s="68">
        <f>+$E$10</f>
        <v>4916.6666666666661</v>
      </c>
      <c r="D16" s="69">
        <v>0</v>
      </c>
      <c r="E16" s="68">
        <f t="shared" si="0"/>
        <v>0</v>
      </c>
      <c r="F16" s="69">
        <v>3.4500000000000003E-2</v>
      </c>
      <c r="G16" s="68">
        <f t="shared" si="1"/>
        <v>169.625</v>
      </c>
      <c r="H16" s="11" t="s">
        <v>90</v>
      </c>
    </row>
    <row r="17" spans="1:23" x14ac:dyDescent="0.3">
      <c r="A17" s="67" t="s">
        <v>99</v>
      </c>
      <c r="B17" s="67" t="s">
        <v>100</v>
      </c>
      <c r="C17" s="68">
        <f>+$E$10</f>
        <v>4916.6666666666661</v>
      </c>
      <c r="D17" s="69">
        <v>0</v>
      </c>
      <c r="E17" s="68">
        <f t="shared" si="0"/>
        <v>0</v>
      </c>
      <c r="F17" s="69">
        <v>4.5999999999999999E-3</v>
      </c>
      <c r="G17" s="68">
        <f t="shared" si="1"/>
        <v>22.616666666666664</v>
      </c>
      <c r="H17" s="11" t="s">
        <v>90</v>
      </c>
    </row>
    <row r="18" spans="1:23" x14ac:dyDescent="0.3">
      <c r="A18" s="67" t="s">
        <v>101</v>
      </c>
      <c r="B18" s="67" t="s">
        <v>102</v>
      </c>
      <c r="C18" s="68">
        <f>+$E$10</f>
        <v>4916.6666666666661</v>
      </c>
      <c r="D18" s="69">
        <v>0</v>
      </c>
      <c r="E18" s="68">
        <f t="shared" si="0"/>
        <v>0</v>
      </c>
      <c r="F18" s="69">
        <v>5.0000000000000001E-3</v>
      </c>
      <c r="G18" s="68">
        <f t="shared" si="1"/>
        <v>24.583333333333332</v>
      </c>
      <c r="H18" s="11" t="s">
        <v>103</v>
      </c>
    </row>
    <row r="19" spans="1:23" x14ac:dyDescent="0.3">
      <c r="A19" s="67" t="s">
        <v>104</v>
      </c>
      <c r="B19" s="67" t="s">
        <v>105</v>
      </c>
      <c r="C19" s="68">
        <f>+X$7+X$8</f>
        <v>4916.6666666666661</v>
      </c>
      <c r="D19" s="69">
        <v>0</v>
      </c>
      <c r="E19" s="68">
        <f>+C19*D19</f>
        <v>0</v>
      </c>
      <c r="F19" s="69">
        <v>4.0500000000000001E-2</v>
      </c>
      <c r="G19" s="68">
        <f>+F19*C19</f>
        <v>199.12499999999997</v>
      </c>
      <c r="H19" t="s">
        <v>90</v>
      </c>
    </row>
    <row r="20" spans="1:23" x14ac:dyDescent="0.3">
      <c r="A20" s="67" t="s">
        <v>106</v>
      </c>
      <c r="B20" s="67" t="s">
        <v>107</v>
      </c>
      <c r="C20" s="68">
        <f>+C19</f>
        <v>4916.6666666666661</v>
      </c>
      <c r="D20" s="69">
        <v>0</v>
      </c>
      <c r="E20" s="68">
        <f>+C20*D20</f>
        <v>0</v>
      </c>
      <c r="F20" s="69">
        <v>2E-3</v>
      </c>
      <c r="G20" s="68">
        <f>+F20*C20</f>
        <v>9.8333333333333321</v>
      </c>
      <c r="H20" t="s">
        <v>90</v>
      </c>
    </row>
    <row r="21" spans="1:23" ht="15" x14ac:dyDescent="0.35">
      <c r="A21" s="67" t="s">
        <v>108</v>
      </c>
      <c r="B21" s="67" t="s">
        <v>109</v>
      </c>
      <c r="C21" s="68">
        <f>+C15</f>
        <v>3864</v>
      </c>
      <c r="D21" s="69">
        <v>3.15E-2</v>
      </c>
      <c r="E21" s="68">
        <f t="shared" si="0"/>
        <v>121.71599999999999</v>
      </c>
      <c r="F21" s="69">
        <v>4.7199999999999999E-2</v>
      </c>
      <c r="G21" s="68">
        <f t="shared" si="1"/>
        <v>182.38079999999999</v>
      </c>
      <c r="H21" t="s">
        <v>90</v>
      </c>
      <c r="J21" s="192" t="s">
        <v>110</v>
      </c>
      <c r="K21" s="193"/>
      <c r="L21" s="192" t="s">
        <v>111</v>
      </c>
      <c r="M21" s="193"/>
    </row>
    <row r="22" spans="1:23" ht="15" x14ac:dyDescent="0.35">
      <c r="A22" s="67" t="s">
        <v>112</v>
      </c>
      <c r="B22" s="67" t="s">
        <v>113</v>
      </c>
      <c r="C22" s="68">
        <f>+C20-C21</f>
        <v>1052.6666666666661</v>
      </c>
      <c r="D22" s="69">
        <v>8.6400000000000005E-2</v>
      </c>
      <c r="E22" s="68">
        <f>+C22*D22</f>
        <v>90.950399999999959</v>
      </c>
      <c r="F22" s="69">
        <v>0.1295</v>
      </c>
      <c r="G22" s="68">
        <f>+C22*F22</f>
        <v>136.32033333333325</v>
      </c>
      <c r="H22" t="s">
        <v>90</v>
      </c>
      <c r="I22" s="12" t="s">
        <v>32</v>
      </c>
      <c r="J22" s="112" t="s">
        <v>114</v>
      </c>
      <c r="K22" s="12" t="s">
        <v>115</v>
      </c>
      <c r="L22" s="112" t="s">
        <v>116</v>
      </c>
      <c r="M22" s="12" t="s">
        <v>117</v>
      </c>
      <c r="N22" s="112" t="s">
        <v>118</v>
      </c>
    </row>
    <row r="23" spans="1:23" ht="15" customHeight="1" x14ac:dyDescent="0.3">
      <c r="A23" s="67" t="s">
        <v>119</v>
      </c>
      <c r="B23" s="67" t="s">
        <v>120</v>
      </c>
      <c r="C23" s="68">
        <f>+IF(E$10&lt;X$6,0,E$10)</f>
        <v>4916.6666666666661</v>
      </c>
      <c r="D23" s="69">
        <v>1.4E-3</v>
      </c>
      <c r="E23" s="68">
        <f>+C23*D23</f>
        <v>6.883333333333332</v>
      </c>
      <c r="F23" s="69">
        <v>2.0999999999999999E-3</v>
      </c>
      <c r="G23" s="68">
        <f>+C23*F23</f>
        <v>10.324999999999998</v>
      </c>
      <c r="H23" t="s">
        <v>90</v>
      </c>
      <c r="I23" s="13" t="s">
        <v>121</v>
      </c>
      <c r="J23" s="121"/>
      <c r="K23" s="14">
        <v>0</v>
      </c>
      <c r="L23" s="115"/>
      <c r="M23" s="14">
        <v>0</v>
      </c>
      <c r="N23" s="116">
        <f>M23+K23</f>
        <v>0</v>
      </c>
    </row>
    <row r="24" spans="1:23" x14ac:dyDescent="0.3">
      <c r="A24" s="67" t="s">
        <v>122</v>
      </c>
      <c r="B24" s="67" t="s">
        <v>123</v>
      </c>
      <c r="C24" s="68">
        <f>+C15</f>
        <v>3864</v>
      </c>
      <c r="D24" s="69">
        <v>8.6E-3</v>
      </c>
      <c r="E24" s="68">
        <f>+C24*D24</f>
        <v>33.230400000000003</v>
      </c>
      <c r="F24" s="69">
        <v>1.29E-2</v>
      </c>
      <c r="G24" s="68">
        <f>+C24*F24</f>
        <v>49.845599999999997</v>
      </c>
      <c r="H24" t="s">
        <v>90</v>
      </c>
      <c r="I24" s="13" t="s">
        <v>124</v>
      </c>
      <c r="J24" s="121"/>
      <c r="K24" s="124">
        <v>45</v>
      </c>
      <c r="L24" s="121"/>
      <c r="M24" s="14">
        <v>30</v>
      </c>
      <c r="N24" s="116">
        <f>M24+K24</f>
        <v>75</v>
      </c>
    </row>
    <row r="25" spans="1:23" x14ac:dyDescent="0.3">
      <c r="A25" s="67" t="s">
        <v>122</v>
      </c>
      <c r="B25" s="67" t="s">
        <v>125</v>
      </c>
      <c r="C25" s="68">
        <f>+IF(E$10&lt;X$6,0,(E$10-X$6))</f>
        <v>1052.6666666666661</v>
      </c>
      <c r="D25" s="69">
        <v>1.0800000000000001E-2</v>
      </c>
      <c r="E25" s="68">
        <f>+C25*D25</f>
        <v>11.368799999999995</v>
      </c>
      <c r="F25" s="69">
        <v>1.6199999999999999E-2</v>
      </c>
      <c r="G25" s="68">
        <f>+C25*F25</f>
        <v>17.05319999999999</v>
      </c>
      <c r="H25" t="s">
        <v>90</v>
      </c>
      <c r="I25" s="13" t="s">
        <v>126</v>
      </c>
      <c r="J25" s="121"/>
      <c r="K25" s="124"/>
      <c r="L25" s="115"/>
      <c r="M25" s="14"/>
      <c r="N25" s="116"/>
    </row>
    <row r="26" spans="1:23" x14ac:dyDescent="0.3">
      <c r="A26" s="67" t="s">
        <v>127</v>
      </c>
      <c r="B26" s="67" t="s">
        <v>128</v>
      </c>
      <c r="C26" s="68">
        <f>+C20</f>
        <v>4916.6666666666661</v>
      </c>
      <c r="D26" s="69">
        <v>2.4000000000000001E-4</v>
      </c>
      <c r="E26" s="68">
        <f t="shared" si="0"/>
        <v>1.18</v>
      </c>
      <c r="F26" s="69">
        <v>3.6000000000000002E-4</v>
      </c>
      <c r="G26" s="68">
        <f t="shared" si="1"/>
        <v>1.7699999999999998</v>
      </c>
      <c r="H26" t="s">
        <v>90</v>
      </c>
      <c r="I26" s="13" t="s">
        <v>129</v>
      </c>
      <c r="J26" s="121"/>
      <c r="K26" s="124"/>
      <c r="L26" s="121"/>
      <c r="M26" s="14"/>
      <c r="N26" s="116"/>
    </row>
    <row r="27" spans="1:23" x14ac:dyDescent="0.3">
      <c r="A27" s="67" t="s">
        <v>130</v>
      </c>
      <c r="B27" s="67" t="s">
        <v>131</v>
      </c>
      <c r="C27" s="68">
        <f>+C24</f>
        <v>3864</v>
      </c>
      <c r="D27" s="69">
        <v>0</v>
      </c>
      <c r="E27" s="68">
        <f t="shared" si="0"/>
        <v>0</v>
      </c>
      <c r="F27" s="69">
        <v>7.0000000000000001E-3</v>
      </c>
      <c r="G27" s="68">
        <f t="shared" si="1"/>
        <v>27.048000000000002</v>
      </c>
      <c r="I27" s="117" t="s">
        <v>132</v>
      </c>
      <c r="J27" s="121"/>
      <c r="K27" s="124"/>
      <c r="L27" s="118"/>
      <c r="M27" s="14"/>
      <c r="N27" s="116"/>
    </row>
    <row r="28" spans="1:23" x14ac:dyDescent="0.3">
      <c r="A28" s="67" t="s">
        <v>133</v>
      </c>
      <c r="B28" s="67" t="s">
        <v>134</v>
      </c>
      <c r="C28" s="68">
        <f>+IF(E$10&lt;X$6,0,(E$10-X$6))</f>
        <v>1052.6666666666661</v>
      </c>
      <c r="D28" s="69">
        <v>3.5999999999999999E-3</v>
      </c>
      <c r="E28" s="68">
        <f t="shared" si="0"/>
        <v>3.7895999999999979</v>
      </c>
      <c r="F28" s="69">
        <v>3.5999999999999999E-3</v>
      </c>
      <c r="G28" s="68">
        <f t="shared" si="1"/>
        <v>3.7895999999999979</v>
      </c>
      <c r="I28" s="117" t="s">
        <v>135</v>
      </c>
      <c r="J28" s="121"/>
      <c r="K28" s="125"/>
      <c r="L28" s="118"/>
      <c r="M28" s="119"/>
      <c r="N28" s="120"/>
    </row>
    <row r="29" spans="1:23" x14ac:dyDescent="0.3">
      <c r="A29" s="67" t="s">
        <v>136</v>
      </c>
      <c r="B29" s="67" t="s">
        <v>137</v>
      </c>
      <c r="C29" s="68">
        <f>+X6</f>
        <v>3864</v>
      </c>
      <c r="D29" s="69"/>
      <c r="E29" s="68">
        <f>IF('1. Calcul Avec prov'!J17="Oui",'1. Calcul Avec prov'!M17,0)</f>
        <v>30</v>
      </c>
      <c r="F29" s="69"/>
      <c r="G29" s="68">
        <f>IF('1. Calcul Avec prov'!J17="Oui",K24,0)</f>
        <v>45</v>
      </c>
    </row>
    <row r="30" spans="1:23" ht="15" x14ac:dyDescent="0.35">
      <c r="A30" s="67" t="s">
        <v>138</v>
      </c>
      <c r="B30" s="67" t="s">
        <v>139</v>
      </c>
      <c r="C30" s="68">
        <f>+E10</f>
        <v>4916.6666666666661</v>
      </c>
      <c r="D30" s="69">
        <v>0</v>
      </c>
      <c r="E30" s="68">
        <f>+C30*D30</f>
        <v>0</v>
      </c>
      <c r="F30" s="69">
        <v>1.6000000000000001E-4</v>
      </c>
      <c r="G30" s="68">
        <f>+C30*F30</f>
        <v>0.78666666666666663</v>
      </c>
      <c r="H30" t="s">
        <v>90</v>
      </c>
      <c r="K30" s="99" t="s">
        <v>32</v>
      </c>
      <c r="L30" s="100" t="s">
        <v>140</v>
      </c>
      <c r="M30" s="113"/>
    </row>
    <row r="31" spans="1:23" x14ac:dyDescent="0.3">
      <c r="A31" s="67" t="s">
        <v>141</v>
      </c>
      <c r="B31" s="67" t="s">
        <v>142</v>
      </c>
      <c r="C31" s="68">
        <f>+E10</f>
        <v>4916.6666666666661</v>
      </c>
      <c r="D31" s="69">
        <v>0</v>
      </c>
      <c r="E31" s="68">
        <f>+C31*D31</f>
        <v>0</v>
      </c>
      <c r="F31" s="69">
        <v>6.7999999999999996E-3</v>
      </c>
      <c r="G31" s="68">
        <f>+C31*F31</f>
        <v>33.43333333333333</v>
      </c>
      <c r="H31" t="s">
        <v>90</v>
      </c>
      <c r="K31" s="101" t="s">
        <v>33</v>
      </c>
      <c r="L31" s="171">
        <v>30</v>
      </c>
      <c r="M31" s="114"/>
    </row>
    <row r="32" spans="1:23" x14ac:dyDescent="0.3">
      <c r="A32" s="67" t="s">
        <v>143</v>
      </c>
      <c r="B32" s="67" t="s">
        <v>144</v>
      </c>
      <c r="C32" s="68">
        <f>+E10</f>
        <v>4916.6666666666661</v>
      </c>
      <c r="D32" s="69">
        <v>0</v>
      </c>
      <c r="E32" s="68">
        <f>+C32*D32</f>
        <v>0</v>
      </c>
      <c r="F32" s="69">
        <v>1E-4</v>
      </c>
      <c r="G32" s="68">
        <f>+C32*F32</f>
        <v>0.49166666666666664</v>
      </c>
      <c r="K32" s="102" t="s">
        <v>121</v>
      </c>
      <c r="L32" s="172"/>
      <c r="M32" s="114"/>
      <c r="W32" s="93"/>
    </row>
    <row r="33" spans="1:23" x14ac:dyDescent="0.3">
      <c r="A33" s="67" t="s">
        <v>145</v>
      </c>
      <c r="B33" s="67" t="s">
        <v>146</v>
      </c>
      <c r="C33" s="68">
        <f>E10</f>
        <v>4916.6666666666661</v>
      </c>
      <c r="D33" s="69">
        <v>0</v>
      </c>
      <c r="E33" s="68">
        <f>+C33*D33</f>
        <v>0</v>
      </c>
      <c r="F33" s="69">
        <v>4.0000000000000002E-4</v>
      </c>
      <c r="G33" s="68">
        <f>+C33*F33</f>
        <v>1.9666666666666666</v>
      </c>
    </row>
    <row r="34" spans="1:23" x14ac:dyDescent="0.3">
      <c r="A34" s="67" t="s">
        <v>147</v>
      </c>
      <c r="B34" s="67" t="s">
        <v>148</v>
      </c>
      <c r="C34" s="68">
        <f>+E10</f>
        <v>4916.6666666666661</v>
      </c>
      <c r="D34" s="69">
        <v>0</v>
      </c>
      <c r="E34" s="68">
        <f t="shared" si="0"/>
        <v>0</v>
      </c>
      <c r="F34" s="69">
        <v>1.6E-2</v>
      </c>
      <c r="G34" s="68">
        <f t="shared" si="1"/>
        <v>78.666666666666657</v>
      </c>
      <c r="H34" t="s">
        <v>90</v>
      </c>
      <c r="W34" t="s">
        <v>10</v>
      </c>
    </row>
    <row r="35" spans="1:23" x14ac:dyDescent="0.3">
      <c r="A35" s="67"/>
      <c r="B35" s="67" t="s">
        <v>149</v>
      </c>
      <c r="C35" s="68">
        <f>E10</f>
        <v>4916.6666666666661</v>
      </c>
      <c r="D35" s="69">
        <v>0</v>
      </c>
      <c r="E35" s="68">
        <f t="shared" ref="E35:E36" si="2">+C35*D35</f>
        <v>0</v>
      </c>
      <c r="F35" s="69">
        <f>0.45%</f>
        <v>4.5000000000000005E-3</v>
      </c>
      <c r="G35" s="68">
        <f t="shared" si="1"/>
        <v>22.125</v>
      </c>
      <c r="H35" t="s">
        <v>150</v>
      </c>
    </row>
    <row r="36" spans="1:23" x14ac:dyDescent="0.3">
      <c r="A36" s="67"/>
      <c r="B36" s="67" t="s">
        <v>151</v>
      </c>
      <c r="C36" s="68">
        <f>E10</f>
        <v>4916.6666666666661</v>
      </c>
      <c r="D36" s="69">
        <v>0</v>
      </c>
      <c r="E36" s="68">
        <f t="shared" si="2"/>
        <v>0</v>
      </c>
      <c r="F36" s="69" t="e">
        <f>tx_taxe_transport/100</f>
        <v>#REF!</v>
      </c>
      <c r="G36" s="68" t="e">
        <f t="shared" si="1"/>
        <v>#REF!</v>
      </c>
      <c r="H36" t="s">
        <v>152</v>
      </c>
    </row>
    <row r="37" spans="1:23" x14ac:dyDescent="0.3">
      <c r="A37" s="67" t="s">
        <v>153</v>
      </c>
      <c r="B37" s="67" t="s">
        <v>154</v>
      </c>
      <c r="C37" s="68">
        <f>IF(($E$10/151.67)&gt;=(C2*3.4609),$E$10,0)</f>
        <v>0</v>
      </c>
      <c r="D37" s="69">
        <v>0</v>
      </c>
      <c r="E37" s="68">
        <f>+C37*D37</f>
        <v>0</v>
      </c>
      <c r="F37" s="69">
        <v>1.7999999999999999E-2</v>
      </c>
      <c r="G37" s="68">
        <f>+C37*F37</f>
        <v>0</v>
      </c>
      <c r="H37" t="s">
        <v>90</v>
      </c>
    </row>
    <row r="38" spans="1:23" x14ac:dyDescent="0.3">
      <c r="A38" s="67" t="s">
        <v>155</v>
      </c>
      <c r="B38" s="67" t="s">
        <v>156</v>
      </c>
      <c r="C38" s="68">
        <f>+C39</f>
        <v>4906.4625999999989</v>
      </c>
      <c r="D38" s="69">
        <v>2.9000000000000001E-2</v>
      </c>
      <c r="E38" s="68">
        <f>+C38*D38</f>
        <v>142.28741539999999</v>
      </c>
      <c r="F38" s="69">
        <v>0</v>
      </c>
      <c r="G38" s="68">
        <f>+C38*F38</f>
        <v>0</v>
      </c>
      <c r="H38" t="s">
        <v>90</v>
      </c>
    </row>
    <row r="39" spans="1:23" x14ac:dyDescent="0.3">
      <c r="A39" s="67" t="s">
        <v>157</v>
      </c>
      <c r="B39" s="67" t="s">
        <v>158</v>
      </c>
      <c r="C39" s="68">
        <f>+($E$10-($E$10*1.75%))+$G$27+$G$28+$G$29</f>
        <v>4906.4625999999989</v>
      </c>
      <c r="D39" s="69">
        <v>6.8000000000000005E-2</v>
      </c>
      <c r="E39" s="68">
        <f>+C39*D39</f>
        <v>333.63945679999995</v>
      </c>
      <c r="F39" s="69">
        <v>0</v>
      </c>
      <c r="G39" s="68">
        <f>+C39*F39</f>
        <v>0</v>
      </c>
      <c r="H39" s="19" t="s">
        <v>90</v>
      </c>
    </row>
    <row r="40" spans="1:23" x14ac:dyDescent="0.3">
      <c r="A40" s="6" t="s">
        <v>72</v>
      </c>
      <c r="B40" s="6" t="s">
        <v>159</v>
      </c>
      <c r="C40" s="6" t="s">
        <v>72</v>
      </c>
      <c r="D40" s="6"/>
      <c r="E40" s="7">
        <f>SUM(E12:E39)-E38</f>
        <v>919.04065679999997</v>
      </c>
      <c r="F40" s="7"/>
      <c r="G40" s="20"/>
      <c r="W40" t="s">
        <v>10</v>
      </c>
    </row>
    <row r="41" spans="1:23" x14ac:dyDescent="0.3">
      <c r="A41" s="6" t="s">
        <v>72</v>
      </c>
      <c r="B41" s="6" t="s">
        <v>160</v>
      </c>
      <c r="C41" s="6" t="s">
        <v>72</v>
      </c>
      <c r="D41" s="6"/>
      <c r="E41" s="7">
        <f>+E38</f>
        <v>142.28741539999999</v>
      </c>
      <c r="F41" s="7"/>
      <c r="G41" s="8" t="s">
        <v>72</v>
      </c>
    </row>
    <row r="42" spans="1:23" x14ac:dyDescent="0.3">
      <c r="A42" s="75" t="s">
        <v>72</v>
      </c>
      <c r="B42" s="75" t="s">
        <v>161</v>
      </c>
      <c r="C42" s="78">
        <f>'1. Calcul Avec prov'!J5</f>
        <v>18</v>
      </c>
      <c r="D42" s="76">
        <f>E42/C42</f>
        <v>58.962670677777773</v>
      </c>
      <c r="E42" s="76">
        <f>E40+E41</f>
        <v>1061.3280722</v>
      </c>
      <c r="F42" s="76" t="e">
        <f>G42/C42</f>
        <v>#REF!</v>
      </c>
      <c r="G42" s="77" t="e">
        <f>SUM(G12:G39)</f>
        <v>#REF!</v>
      </c>
      <c r="H42" s="107" t="e">
        <f>G42/E10</f>
        <v>#REF!</v>
      </c>
    </row>
    <row r="43" spans="1:23" x14ac:dyDescent="0.3">
      <c r="A43" s="22" t="s">
        <v>72</v>
      </c>
      <c r="B43" s="22" t="s">
        <v>162</v>
      </c>
      <c r="C43" s="22" t="s">
        <v>72</v>
      </c>
      <c r="D43" s="22"/>
      <c r="E43" s="23">
        <f>+E10-E42+E41</f>
        <v>3997.6260098666662</v>
      </c>
      <c r="F43" s="23"/>
      <c r="G43" s="24" t="s">
        <v>72</v>
      </c>
    </row>
    <row r="44" spans="1:23" x14ac:dyDescent="0.3">
      <c r="A44" s="22"/>
      <c r="B44" s="22" t="s">
        <v>163</v>
      </c>
      <c r="C44" s="81">
        <f>'1. Calcul Avec prov'!J5</f>
        <v>18</v>
      </c>
      <c r="D44" s="89">
        <f>E44/C44</f>
        <v>214.18547747037033</v>
      </c>
      <c r="E44" s="23">
        <f>E10-E42</f>
        <v>3855.3385944666661</v>
      </c>
      <c r="F44" s="23"/>
      <c r="G44" s="24"/>
    </row>
    <row r="45" spans="1:23" x14ac:dyDescent="0.3">
      <c r="A45" s="25"/>
      <c r="B45" s="25" t="s">
        <v>164</v>
      </c>
      <c r="C45" s="80">
        <f>'1. Calcul Avec prov'!J5</f>
        <v>18</v>
      </c>
      <c r="D45" s="66">
        <f>E45/C45</f>
        <v>-5.5</v>
      </c>
      <c r="E45" s="26">
        <f>-'1. Calcul Avec prov'!M13</f>
        <v>-99</v>
      </c>
      <c r="F45" s="26"/>
      <c r="G45" s="27"/>
    </row>
    <row r="46" spans="1:23" x14ac:dyDescent="0.3">
      <c r="A46" s="25" t="s">
        <v>72</v>
      </c>
      <c r="B46" s="70" t="s">
        <v>165</v>
      </c>
      <c r="C46" s="79">
        <f>'1. Calcul Avec prov'!J5</f>
        <v>18</v>
      </c>
      <c r="D46" s="71">
        <f>E46/C46</f>
        <v>208.68547747037033</v>
      </c>
      <c r="E46" s="72">
        <f>E10-E42+E45</f>
        <v>3756.3385944666661</v>
      </c>
      <c r="F46" s="26"/>
      <c r="G46" s="27" t="s">
        <v>72</v>
      </c>
    </row>
    <row r="47" spans="1:23" x14ac:dyDescent="0.3">
      <c r="A47" s="25"/>
      <c r="B47" s="25" t="s">
        <v>166</v>
      </c>
      <c r="C47" s="80"/>
      <c r="D47" s="25"/>
      <c r="E47" s="26">
        <f>'1. Calcul Avec prov'!J12</f>
        <v>0</v>
      </c>
      <c r="F47" s="26"/>
      <c r="G47" s="27"/>
    </row>
    <row r="48" spans="1:23" x14ac:dyDescent="0.3">
      <c r="A48" s="25"/>
      <c r="B48" s="25" t="s">
        <v>167</v>
      </c>
      <c r="C48" s="80"/>
      <c r="D48" s="25"/>
      <c r="E48" s="26">
        <f>'1. Calcul Avec prov'!J21</f>
        <v>198</v>
      </c>
      <c r="F48" s="26"/>
      <c r="G48" s="27"/>
      <c r="S48" s="18"/>
    </row>
    <row r="49" spans="1:23" x14ac:dyDescent="0.3">
      <c r="A49" s="22" t="s">
        <v>72</v>
      </c>
      <c r="B49" s="22" t="s">
        <v>168</v>
      </c>
      <c r="C49" s="81">
        <f>'1. Calcul Avec prov'!J5</f>
        <v>18</v>
      </c>
      <c r="D49" s="22" t="e">
        <f>E49/C49</f>
        <v>#REF!</v>
      </c>
      <c r="E49" s="23" t="e">
        <f>+E10+G42</f>
        <v>#REF!</v>
      </c>
      <c r="F49" s="23"/>
      <c r="G49" s="24" t="s">
        <v>72</v>
      </c>
      <c r="S49" s="18"/>
    </row>
    <row r="50" spans="1:23" hidden="1" x14ac:dyDescent="0.3">
      <c r="A50" s="25" t="s">
        <v>72</v>
      </c>
      <c r="B50" s="61" t="s">
        <v>169</v>
      </c>
      <c r="C50" s="82" t="s">
        <v>72</v>
      </c>
      <c r="D50" s="61"/>
      <c r="E50" s="62">
        <f>E46-'1. Calcul Avec prov'!K19</f>
        <v>3356.5759934799994</v>
      </c>
      <c r="F50" s="26"/>
      <c r="G50" s="27" t="s">
        <v>72</v>
      </c>
      <c r="W50" s="19"/>
    </row>
    <row r="51" spans="1:23" x14ac:dyDescent="0.3">
      <c r="A51" s="25"/>
      <c r="B51" s="25" t="s">
        <v>170</v>
      </c>
      <c r="C51" s="80">
        <f>'1. Calcul Avec prov'!J5</f>
        <v>18</v>
      </c>
      <c r="D51" s="66">
        <f>E51/C51</f>
        <v>27.464920341330071</v>
      </c>
      <c r="E51" s="26">
        <f>E52-E46</f>
        <v>494.36856614394128</v>
      </c>
      <c r="F51" s="26"/>
      <c r="G51" s="27"/>
      <c r="W51" s="19"/>
    </row>
    <row r="52" spans="1:23" x14ac:dyDescent="0.3">
      <c r="A52" s="25"/>
      <c r="B52" s="40" t="s">
        <v>171</v>
      </c>
      <c r="C52" s="83">
        <f>'1. Calcul Avec prov'!J5</f>
        <v>18</v>
      </c>
      <c r="D52" s="65">
        <f>E52/C52</f>
        <v>236.1503978117004</v>
      </c>
      <c r="E52" s="41">
        <f>'2. Calcul Sans prov'!B9</f>
        <v>4250.7071606106074</v>
      </c>
      <c r="F52" s="26"/>
      <c r="G52" s="27"/>
      <c r="W52" s="19"/>
    </row>
    <row r="53" spans="1:23" ht="28.8" x14ac:dyDescent="0.3">
      <c r="A53" s="25"/>
      <c r="B53" s="63" t="s">
        <v>172</v>
      </c>
      <c r="C53" s="83">
        <f>'1. Calcul Avec prov'!J5</f>
        <v>18</v>
      </c>
      <c r="D53" s="65">
        <f>E53/C53</f>
        <v>247.1503978117004</v>
      </c>
      <c r="E53" s="41">
        <f>E52+E47+E48</f>
        <v>4448.7071606106074</v>
      </c>
      <c r="F53" s="26"/>
      <c r="G53" s="27"/>
    </row>
    <row r="54" spans="1:23" ht="33" customHeight="1" x14ac:dyDescent="0.3">
      <c r="G54" s="1"/>
    </row>
    <row r="55" spans="1:23" x14ac:dyDescent="0.3">
      <c r="B55" t="s">
        <v>173</v>
      </c>
      <c r="C55" s="11">
        <f>+E42/E10</f>
        <v>0.21586333671864408</v>
      </c>
      <c r="G55" s="1"/>
      <c r="K55" t="s">
        <v>174</v>
      </c>
    </row>
    <row r="56" spans="1:23" x14ac:dyDescent="0.3">
      <c r="B56" t="s">
        <v>175</v>
      </c>
      <c r="C56" s="11" t="e">
        <f>+G42/E10</f>
        <v>#REF!</v>
      </c>
      <c r="G56" s="1"/>
    </row>
    <row r="57" spans="1:23" ht="15" thickBot="1" x14ac:dyDescent="0.35"/>
    <row r="58" spans="1:23" ht="15" thickBot="1" x14ac:dyDescent="0.35">
      <c r="B58" s="30" t="s">
        <v>61</v>
      </c>
      <c r="C58" s="60">
        <f>E53/'1. Calcul Avec prov'!J6 *100</f>
        <v>49.430079562340083</v>
      </c>
    </row>
    <row r="61" spans="1:23" ht="15" thickBot="1" x14ac:dyDescent="0.35"/>
    <row r="62" spans="1:23" ht="31.5" customHeight="1" thickBot="1" x14ac:dyDescent="0.35">
      <c r="B62" s="194" t="s">
        <v>176</v>
      </c>
      <c r="C62" s="195"/>
      <c r="D62" s="195"/>
      <c r="E62" s="196"/>
    </row>
    <row r="63" spans="1:23" ht="27" customHeight="1" x14ac:dyDescent="0.3"/>
  </sheetData>
  <mergeCells count="5">
    <mergeCell ref="J21:K21"/>
    <mergeCell ref="L21:M21"/>
    <mergeCell ref="B62:E62"/>
    <mergeCell ref="A1:G1"/>
    <mergeCell ref="C3:G3"/>
  </mergeCells>
  <pageMargins left="0.7" right="0.24" top="0.75" bottom="0.75" header="0.3" footer="0.3"/>
  <pageSetup paperSize="9" fitToHeight="0" orientation="portrait" verticalDpi="0" r:id="rId1"/>
  <customProperties>
    <customPr name="OrphanNamesChecked" r:id="rId2"/>
  </customProperties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9"/>
  </sheetPr>
  <dimension ref="A1:X52"/>
  <sheetViews>
    <sheetView tabSelected="1" topLeftCell="A41" workbookViewId="0">
      <selection activeCell="F33" sqref="F33"/>
    </sheetView>
  </sheetViews>
  <sheetFormatPr baseColWidth="10" defaultColWidth="8.5546875" defaultRowHeight="14.4" x14ac:dyDescent="0.3"/>
  <cols>
    <col min="1" max="1" width="12.44140625" bestFit="1" customWidth="1"/>
    <col min="2" max="2" width="40.44140625" bestFit="1" customWidth="1"/>
    <col min="4" max="4" width="8.44140625" bestFit="1" customWidth="1"/>
    <col min="5" max="5" width="9" bestFit="1" customWidth="1"/>
    <col min="7" max="7" width="8.44140625" bestFit="1" customWidth="1"/>
    <col min="9" max="10" width="0" hidden="1" customWidth="1"/>
    <col min="11" max="11" width="34.5546875" hidden="1" customWidth="1"/>
    <col min="12" max="12" width="12" hidden="1" customWidth="1"/>
    <col min="13" max="13" width="12.5546875" hidden="1" customWidth="1"/>
    <col min="14" max="14" width="9.5546875" hidden="1" customWidth="1"/>
    <col min="15" max="15" width="12" hidden="1" customWidth="1"/>
    <col min="16" max="16" width="17" hidden="1" customWidth="1"/>
    <col min="17" max="17" width="11" hidden="1" customWidth="1"/>
    <col min="18" max="18" width="12" hidden="1" customWidth="1"/>
    <col min="19" max="19" width="12.5546875" hidden="1" customWidth="1"/>
    <col min="20" max="20" width="0" hidden="1" customWidth="1"/>
    <col min="21" max="21" width="26.5546875" bestFit="1" customWidth="1"/>
  </cols>
  <sheetData>
    <row r="1" spans="1:24" ht="14.4" customHeight="1" x14ac:dyDescent="0.3">
      <c r="A1" s="197" t="s">
        <v>63</v>
      </c>
      <c r="B1" s="198"/>
      <c r="C1" s="198"/>
      <c r="D1" s="198"/>
      <c r="E1" s="198"/>
      <c r="F1" s="198"/>
      <c r="G1" s="198"/>
    </row>
    <row r="2" spans="1:24" x14ac:dyDescent="0.3">
      <c r="A2" t="s">
        <v>64</v>
      </c>
      <c r="B2" s="105">
        <v>11.65</v>
      </c>
      <c r="G2" s="1"/>
    </row>
    <row r="3" spans="1:24" ht="14.4" customHeight="1" x14ac:dyDescent="0.3">
      <c r="C3" s="197" t="s">
        <v>65</v>
      </c>
      <c r="D3" s="198"/>
      <c r="E3" s="198"/>
      <c r="F3" s="198"/>
      <c r="G3" s="199"/>
    </row>
    <row r="4" spans="1:24" ht="43.2" x14ac:dyDescent="0.3">
      <c r="A4" s="2" t="s">
        <v>66</v>
      </c>
      <c r="B4" s="2" t="s">
        <v>67</v>
      </c>
      <c r="C4" s="2" t="s">
        <v>68</v>
      </c>
      <c r="D4" s="2" t="s">
        <v>69</v>
      </c>
      <c r="E4" s="2" t="s">
        <v>70</v>
      </c>
      <c r="F4" s="2"/>
      <c r="G4" s="2"/>
    </row>
    <row r="5" spans="1:24" ht="14.4" customHeight="1" x14ac:dyDescent="0.3">
      <c r="A5" s="3"/>
      <c r="B5" s="8" t="s">
        <v>71</v>
      </c>
      <c r="C5" s="85">
        <f>'1. Calcul Avec prov'!J5</f>
        <v>18</v>
      </c>
      <c r="D5" s="64">
        <f>+E5/C5</f>
        <v>307.56929697105181</v>
      </c>
      <c r="E5" s="20">
        <f>'2. Calcul Sans prov'!B5</f>
        <v>5536.2473454789324</v>
      </c>
      <c r="F5" s="20"/>
      <c r="G5" s="8" t="s">
        <v>72</v>
      </c>
      <c r="U5" s="3" t="s">
        <v>73</v>
      </c>
      <c r="V5" s="4">
        <v>213</v>
      </c>
      <c r="W5" s="4"/>
      <c r="X5" s="5" t="s">
        <v>72</v>
      </c>
    </row>
    <row r="6" spans="1:24" ht="14.4" customHeight="1" x14ac:dyDescent="0.3">
      <c r="A6" s="3"/>
      <c r="B6" s="3" t="s">
        <v>74</v>
      </c>
      <c r="C6" s="84">
        <f>'1. Calcul Avec prov'!J5</f>
        <v>18</v>
      </c>
      <c r="D6" s="4">
        <f>(V5*0.85)/1.1/1.05</f>
        <v>156.75324675324671</v>
      </c>
      <c r="E6" s="4">
        <f>+C6*D6</f>
        <v>2821.5584415584408</v>
      </c>
      <c r="F6" s="4"/>
      <c r="G6" s="5"/>
      <c r="U6" s="3" t="s">
        <v>75</v>
      </c>
      <c r="V6" s="4">
        <v>3864</v>
      </c>
      <c r="W6" s="4"/>
      <c r="X6" s="5" t="s">
        <v>72</v>
      </c>
    </row>
    <row r="7" spans="1:24" ht="14.4" customHeight="1" x14ac:dyDescent="0.3">
      <c r="A7" s="3"/>
      <c r="B7" s="3" t="s">
        <v>76</v>
      </c>
      <c r="C7" s="84">
        <f>'1. Calcul Avec prov'!J5</f>
        <v>18</v>
      </c>
      <c r="D7" s="4">
        <f>(D5/1.1/1.05)-D6</f>
        <v>109.54051685805351</v>
      </c>
      <c r="E7" s="4">
        <f>+C7*D7</f>
        <v>1971.7293034449631</v>
      </c>
      <c r="F7" s="4"/>
      <c r="G7" s="5"/>
      <c r="U7" s="3" t="s">
        <v>77</v>
      </c>
      <c r="V7" s="4">
        <f>+IF(E10&gt;V6,V6,E10)</f>
        <v>3864</v>
      </c>
      <c r="W7" s="4"/>
      <c r="X7" s="5" t="s">
        <v>72</v>
      </c>
    </row>
    <row r="8" spans="1:24" ht="14.4" customHeight="1" x14ac:dyDescent="0.3">
      <c r="A8" s="3"/>
      <c r="B8" s="3" t="s">
        <v>78</v>
      </c>
      <c r="C8" s="84">
        <f>'1. Calcul Avec prov'!J5</f>
        <v>18</v>
      </c>
      <c r="D8" s="4">
        <f>(D6+D7)*0.05</f>
        <v>13.314688180565012</v>
      </c>
      <c r="E8" s="4">
        <f>+C8*D8</f>
        <v>239.66438725017022</v>
      </c>
      <c r="F8" s="4"/>
      <c r="G8" s="5"/>
      <c r="U8" s="3" t="s">
        <v>79</v>
      </c>
      <c r="V8" s="4">
        <f>IF($E$10&lt;$V$6,0,$E$10-$V$7)</f>
        <v>1672.2473454789315</v>
      </c>
      <c r="W8" s="4"/>
      <c r="X8" s="5" t="s">
        <v>72</v>
      </c>
    </row>
    <row r="9" spans="1:24" ht="14.4" customHeight="1" x14ac:dyDescent="0.3">
      <c r="A9" s="3"/>
      <c r="B9" s="3" t="s">
        <v>80</v>
      </c>
      <c r="C9" s="84">
        <f>'1. Calcul Avec prov'!J5</f>
        <v>18</v>
      </c>
      <c r="D9" s="4">
        <f>(D8+D6+D7)*0.1</f>
        <v>27.960845179186528</v>
      </c>
      <c r="E9" s="4">
        <f>+C9*D9</f>
        <v>503.29521322535749</v>
      </c>
      <c r="F9" s="4"/>
      <c r="G9" s="5"/>
      <c r="U9" s="3" t="s">
        <v>81</v>
      </c>
      <c r="V9" s="4">
        <f>151.67*B2*2.4721</f>
        <v>4368.09069155</v>
      </c>
      <c r="W9" s="4"/>
      <c r="X9" s="5" t="s">
        <v>72</v>
      </c>
    </row>
    <row r="10" spans="1:24" x14ac:dyDescent="0.3">
      <c r="A10" s="3"/>
      <c r="B10" s="8" t="s">
        <v>82</v>
      </c>
      <c r="C10" s="85">
        <f>'1. Calcul Avec prov'!J5</f>
        <v>18</v>
      </c>
      <c r="D10" s="64">
        <f>SUM(D6:D9)</f>
        <v>307.56929697105176</v>
      </c>
      <c r="E10" s="64">
        <f>SUM(E6:E9)</f>
        <v>5536.2473454789315</v>
      </c>
      <c r="F10" s="20"/>
      <c r="G10" s="8" t="s">
        <v>72</v>
      </c>
    </row>
    <row r="11" spans="1:24" ht="36.6" x14ac:dyDescent="0.3">
      <c r="A11" s="73"/>
      <c r="B11" s="73"/>
      <c r="C11" s="74" t="s">
        <v>83</v>
      </c>
      <c r="D11" s="74" t="s">
        <v>84</v>
      </c>
      <c r="E11" s="74" t="s">
        <v>85</v>
      </c>
      <c r="F11" s="74" t="s">
        <v>86</v>
      </c>
      <c r="G11" s="74" t="s">
        <v>87</v>
      </c>
      <c r="K11" s="9" t="s">
        <v>177</v>
      </c>
    </row>
    <row r="12" spans="1:24" x14ac:dyDescent="0.3">
      <c r="A12" s="67" t="s">
        <v>88</v>
      </c>
      <c r="B12" s="67" t="s">
        <v>89</v>
      </c>
      <c r="C12" s="68">
        <f>+$E$10</f>
        <v>5536.2473454789315</v>
      </c>
      <c r="D12" s="69">
        <v>0</v>
      </c>
      <c r="E12" s="68">
        <f>+C12*D12</f>
        <v>0</v>
      </c>
      <c r="F12" s="69">
        <f>IF(C12&gt;V9,13%,7%)</f>
        <v>0.13</v>
      </c>
      <c r="G12" s="68">
        <f>+C12*F12</f>
        <v>719.7121549122611</v>
      </c>
      <c r="K12" s="9" t="s">
        <v>178</v>
      </c>
    </row>
    <row r="13" spans="1:24" x14ac:dyDescent="0.3">
      <c r="A13" s="67" t="s">
        <v>91</v>
      </c>
      <c r="B13" s="67" t="s">
        <v>92</v>
      </c>
      <c r="C13" s="68">
        <f>+$E$10</f>
        <v>5536.2473454789315</v>
      </c>
      <c r="D13" s="69">
        <v>0</v>
      </c>
      <c r="E13" s="68">
        <f t="shared" ref="E13:E34" si="0">+C13*D13</f>
        <v>0</v>
      </c>
      <c r="F13" s="69">
        <v>3.0000000000000001E-3</v>
      </c>
      <c r="G13" s="68">
        <f>+C13*F13</f>
        <v>16.608742036436794</v>
      </c>
      <c r="K13" s="10" t="s">
        <v>179</v>
      </c>
    </row>
    <row r="14" spans="1:24" x14ac:dyDescent="0.3">
      <c r="A14" s="67" t="s">
        <v>93</v>
      </c>
      <c r="B14" s="67" t="s">
        <v>94</v>
      </c>
      <c r="C14" s="68">
        <f>+$E$10</f>
        <v>5536.2473454789315</v>
      </c>
      <c r="D14" s="69">
        <v>4.0000000000000001E-3</v>
      </c>
      <c r="E14" s="68">
        <f t="shared" si="0"/>
        <v>22.144989381915728</v>
      </c>
      <c r="F14" s="69">
        <v>2.0199999999999999E-2</v>
      </c>
      <c r="G14" s="68">
        <f t="shared" ref="G14:G34" si="1">+C14*F14</f>
        <v>111.83219637867441</v>
      </c>
      <c r="K14" s="9">
        <v>353.82</v>
      </c>
    </row>
    <row r="15" spans="1:24" x14ac:dyDescent="0.3">
      <c r="A15" s="67" t="s">
        <v>95</v>
      </c>
      <c r="B15" s="67" t="s">
        <v>96</v>
      </c>
      <c r="C15" s="68">
        <f>+IF(E$10&lt;V$6,E$10,V$6)</f>
        <v>3864</v>
      </c>
      <c r="D15" s="69">
        <v>6.9000000000000006E-2</v>
      </c>
      <c r="E15" s="68">
        <f t="shared" si="0"/>
        <v>266.61600000000004</v>
      </c>
      <c r="F15" s="69">
        <v>8.5500000000000007E-2</v>
      </c>
      <c r="G15" s="68">
        <f t="shared" si="1"/>
        <v>330.37200000000001</v>
      </c>
      <c r="H15" s="11"/>
    </row>
    <row r="16" spans="1:24" x14ac:dyDescent="0.3">
      <c r="A16" s="67" t="s">
        <v>97</v>
      </c>
      <c r="B16" s="67" t="s">
        <v>98</v>
      </c>
      <c r="C16" s="68">
        <f>+$E$10</f>
        <v>5536.2473454789315</v>
      </c>
      <c r="D16" s="69">
        <v>0</v>
      </c>
      <c r="E16" s="68">
        <f t="shared" si="0"/>
        <v>0</v>
      </c>
      <c r="F16" s="69">
        <v>3.4500000000000003E-2</v>
      </c>
      <c r="G16" s="68">
        <f t="shared" si="1"/>
        <v>191.00053341902316</v>
      </c>
      <c r="H16" s="11"/>
    </row>
    <row r="17" spans="1:20" x14ac:dyDescent="0.3">
      <c r="A17" s="67" t="s">
        <v>99</v>
      </c>
      <c r="B17" s="67" t="s">
        <v>100</v>
      </c>
      <c r="C17" s="68">
        <f>+$E$10</f>
        <v>5536.2473454789315</v>
      </c>
      <c r="D17" s="69">
        <v>0</v>
      </c>
      <c r="E17" s="68">
        <f t="shared" si="0"/>
        <v>0</v>
      </c>
      <c r="F17" s="69">
        <v>4.5999999999999999E-3</v>
      </c>
      <c r="G17" s="68">
        <f t="shared" si="1"/>
        <v>25.466737789203084</v>
      </c>
      <c r="H17" s="11"/>
    </row>
    <row r="18" spans="1:20" x14ac:dyDescent="0.3">
      <c r="A18" s="67" t="s">
        <v>101</v>
      </c>
      <c r="B18" s="67" t="s">
        <v>180</v>
      </c>
      <c r="C18" s="68">
        <f>+$E$10</f>
        <v>5536.2473454789315</v>
      </c>
      <c r="D18" s="69">
        <v>0</v>
      </c>
      <c r="E18" s="68">
        <f t="shared" si="0"/>
        <v>0</v>
      </c>
      <c r="F18" s="69">
        <v>5.0000000000000001E-3</v>
      </c>
      <c r="G18" s="68">
        <f t="shared" si="1"/>
        <v>27.681236727394658</v>
      </c>
      <c r="H18" s="11"/>
    </row>
    <row r="19" spans="1:20" x14ac:dyDescent="0.3">
      <c r="A19" s="67" t="s">
        <v>104</v>
      </c>
      <c r="B19" s="67" t="s">
        <v>105</v>
      </c>
      <c r="C19" s="68">
        <f>+V$7+V$8</f>
        <v>5536.2473454789315</v>
      </c>
      <c r="D19" s="69">
        <v>0</v>
      </c>
      <c r="E19" s="68">
        <f>+C19*D19</f>
        <v>0</v>
      </c>
      <c r="F19" s="69">
        <v>4.0500000000000001E-2</v>
      </c>
      <c r="G19" s="68">
        <f>+F19*C19</f>
        <v>224.21801749189675</v>
      </c>
    </row>
    <row r="20" spans="1:20" x14ac:dyDescent="0.3">
      <c r="A20" s="67" t="s">
        <v>106</v>
      </c>
      <c r="B20" s="67" t="s">
        <v>107</v>
      </c>
      <c r="C20" s="68">
        <f>+C19</f>
        <v>5536.2473454789315</v>
      </c>
      <c r="D20" s="69">
        <v>0</v>
      </c>
      <c r="E20" s="68">
        <f>+C20*D20</f>
        <v>0</v>
      </c>
      <c r="F20" s="69">
        <v>2E-3</v>
      </c>
      <c r="G20" s="68">
        <f>+F20*C20</f>
        <v>11.072494690957864</v>
      </c>
    </row>
    <row r="21" spans="1:20" x14ac:dyDescent="0.3">
      <c r="A21" s="67" t="s">
        <v>108</v>
      </c>
      <c r="B21" s="67" t="s">
        <v>109</v>
      </c>
      <c r="C21" s="68">
        <f>+C15</f>
        <v>3864</v>
      </c>
      <c r="D21" s="69">
        <v>3.15E-2</v>
      </c>
      <c r="E21" s="68">
        <f t="shared" si="0"/>
        <v>121.71599999999999</v>
      </c>
      <c r="F21" s="69">
        <v>4.7199999999999999E-2</v>
      </c>
      <c r="G21" s="68">
        <f t="shared" si="1"/>
        <v>182.38079999999999</v>
      </c>
    </row>
    <row r="22" spans="1:20" x14ac:dyDescent="0.3">
      <c r="A22" s="67" t="s">
        <v>112</v>
      </c>
      <c r="B22" s="67" t="s">
        <v>113</v>
      </c>
      <c r="C22" s="68">
        <f>+C20-C21</f>
        <v>1672.2473454789315</v>
      </c>
      <c r="D22" s="69">
        <v>8.6400000000000005E-2</v>
      </c>
      <c r="E22" s="68">
        <f>+C22*D22</f>
        <v>144.4821706493797</v>
      </c>
      <c r="F22" s="69">
        <v>0.1295</v>
      </c>
      <c r="G22" s="68">
        <f>+C22*F22</f>
        <v>216.55603123952164</v>
      </c>
    </row>
    <row r="23" spans="1:20" x14ac:dyDescent="0.3">
      <c r="A23" s="67" t="s">
        <v>119</v>
      </c>
      <c r="B23" s="67" t="s">
        <v>120</v>
      </c>
      <c r="C23" s="68">
        <f>+IF(E$10&lt;V$6,0,E$10)</f>
        <v>5536.2473454789315</v>
      </c>
      <c r="D23" s="69">
        <v>1.4E-3</v>
      </c>
      <c r="E23" s="68">
        <f>+C23*D23</f>
        <v>7.7507462836705043</v>
      </c>
      <c r="F23" s="69">
        <v>2.0999999999999999E-3</v>
      </c>
      <c r="G23" s="68">
        <f>+C23*F23</f>
        <v>11.626119425505756</v>
      </c>
    </row>
    <row r="24" spans="1:20" x14ac:dyDescent="0.3">
      <c r="A24" s="67" t="s">
        <v>122</v>
      </c>
      <c r="B24" s="67" t="s">
        <v>123</v>
      </c>
      <c r="C24" s="68">
        <f>+C15</f>
        <v>3864</v>
      </c>
      <c r="D24" s="69">
        <v>8.6E-3</v>
      </c>
      <c r="E24" s="68">
        <f>+C24*D24</f>
        <v>33.230400000000003</v>
      </c>
      <c r="F24" s="69">
        <v>1.29E-2</v>
      </c>
      <c r="G24" s="68">
        <f>+C24*F24</f>
        <v>49.845599999999997</v>
      </c>
    </row>
    <row r="25" spans="1:20" x14ac:dyDescent="0.3">
      <c r="A25" s="67" t="s">
        <v>122</v>
      </c>
      <c r="B25" s="67" t="s">
        <v>125</v>
      </c>
      <c r="C25" s="68">
        <f>+IF(E$10&lt;V$6,0,(E$10-V$6))</f>
        <v>1672.2473454789315</v>
      </c>
      <c r="D25" s="69">
        <v>1.0800000000000001E-2</v>
      </c>
      <c r="E25" s="68">
        <f>+C25*D25</f>
        <v>18.060271331172462</v>
      </c>
      <c r="F25" s="69">
        <v>1.6199999999999999E-2</v>
      </c>
      <c r="G25" s="68">
        <f>+C25*F25</f>
        <v>27.090406996758688</v>
      </c>
      <c r="L25" s="200" t="s">
        <v>181</v>
      </c>
      <c r="M25" s="201"/>
      <c r="N25" s="202"/>
      <c r="O25" s="200" t="s">
        <v>182</v>
      </c>
      <c r="P25" s="201"/>
      <c r="Q25" s="202"/>
      <c r="R25" s="200" t="s">
        <v>183</v>
      </c>
      <c r="S25" s="201"/>
      <c r="T25" s="202"/>
    </row>
    <row r="26" spans="1:20" ht="15" x14ac:dyDescent="0.35">
      <c r="A26" s="67" t="s">
        <v>127</v>
      </c>
      <c r="B26" s="67" t="s">
        <v>128</v>
      </c>
      <c r="C26" s="68">
        <f>+C20</f>
        <v>5536.2473454789315</v>
      </c>
      <c r="D26" s="69">
        <v>2.4000000000000001E-4</v>
      </c>
      <c r="E26" s="68">
        <f t="shared" si="0"/>
        <v>1.3286993629149435</v>
      </c>
      <c r="F26" s="69">
        <v>3.6000000000000002E-4</v>
      </c>
      <c r="G26" s="68">
        <f t="shared" si="1"/>
        <v>1.9930490443724154</v>
      </c>
      <c r="I26" s="12" t="s">
        <v>184</v>
      </c>
      <c r="J26" s="203" t="s">
        <v>185</v>
      </c>
      <c r="K26" s="204"/>
      <c r="L26" s="12" t="s">
        <v>186</v>
      </c>
      <c r="M26" s="12" t="s">
        <v>187</v>
      </c>
      <c r="N26" s="12" t="s">
        <v>118</v>
      </c>
      <c r="O26" s="12" t="s">
        <v>186</v>
      </c>
      <c r="P26" s="12" t="s">
        <v>187</v>
      </c>
      <c r="Q26" s="12" t="s">
        <v>118</v>
      </c>
      <c r="R26" s="12" t="s">
        <v>186</v>
      </c>
      <c r="S26" s="12" t="s">
        <v>187</v>
      </c>
      <c r="T26" s="12" t="s">
        <v>118</v>
      </c>
    </row>
    <row r="27" spans="1:20" x14ac:dyDescent="0.3">
      <c r="A27" s="67" t="s">
        <v>130</v>
      </c>
      <c r="B27" s="67" t="s">
        <v>131</v>
      </c>
      <c r="C27" s="68">
        <f>+C24</f>
        <v>3864</v>
      </c>
      <c r="D27" s="69">
        <v>0</v>
      </c>
      <c r="E27" s="68">
        <f t="shared" si="0"/>
        <v>0</v>
      </c>
      <c r="F27" s="69">
        <v>7.0000000000000001E-3</v>
      </c>
      <c r="G27" s="68">
        <f t="shared" si="1"/>
        <v>27.048000000000002</v>
      </c>
      <c r="I27" s="13" t="s">
        <v>188</v>
      </c>
      <c r="J27" s="205" t="s">
        <v>189</v>
      </c>
      <c r="K27" s="206"/>
      <c r="L27" s="14">
        <v>27.852</v>
      </c>
      <c r="M27" s="14">
        <v>19.18</v>
      </c>
      <c r="N27" s="15">
        <v>46.42</v>
      </c>
      <c r="O27" s="14">
        <v>27.852</v>
      </c>
      <c r="P27" s="14">
        <v>38.837999999999994</v>
      </c>
      <c r="Q27" s="15">
        <v>66.69</v>
      </c>
      <c r="R27" s="14">
        <v>27.852</v>
      </c>
      <c r="S27" s="14">
        <v>46.35799999999999</v>
      </c>
      <c r="T27" s="16">
        <v>74.209999999999994</v>
      </c>
    </row>
    <row r="28" spans="1:20" x14ac:dyDescent="0.3">
      <c r="A28" s="67" t="s">
        <v>133</v>
      </c>
      <c r="B28" s="67" t="s">
        <v>134</v>
      </c>
      <c r="C28" s="68">
        <f>+IF(E$10&lt;V$6,0,(E$10-V$6))</f>
        <v>1672.2473454789315</v>
      </c>
      <c r="D28" s="69">
        <v>3.5999999999999999E-3</v>
      </c>
      <c r="E28" s="68">
        <f t="shared" si="0"/>
        <v>6.0200904437241531</v>
      </c>
      <c r="F28" s="69">
        <v>3.5999999999999999E-3</v>
      </c>
      <c r="G28" s="68">
        <f t="shared" si="1"/>
        <v>6.0200904437241531</v>
      </c>
      <c r="I28" s="13" t="s">
        <v>190</v>
      </c>
      <c r="J28" s="207"/>
      <c r="K28" s="208"/>
      <c r="L28" s="14">
        <v>27.85</v>
      </c>
      <c r="M28" s="14">
        <v>62.37</v>
      </c>
      <c r="N28" s="15">
        <v>90.22</v>
      </c>
      <c r="O28" s="14">
        <v>27.85</v>
      </c>
      <c r="P28" s="14">
        <v>80.680000000000007</v>
      </c>
      <c r="Q28" s="15">
        <v>108.53</v>
      </c>
      <c r="R28" s="14">
        <v>27.85</v>
      </c>
      <c r="S28" s="14">
        <v>93.43</v>
      </c>
      <c r="T28" s="16">
        <v>121.28</v>
      </c>
    </row>
    <row r="29" spans="1:20" x14ac:dyDescent="0.3">
      <c r="A29" s="67" t="s">
        <v>136</v>
      </c>
      <c r="B29" s="67" t="s">
        <v>137</v>
      </c>
      <c r="C29" s="68">
        <f>+V6</f>
        <v>3864</v>
      </c>
      <c r="D29" s="69"/>
      <c r="E29" s="68">
        <f>IF('1. Calcul Avec prov'!J17="Oui",'1. Calcul Avec prov'!M17,0)</f>
        <v>30</v>
      </c>
      <c r="F29" s="69"/>
      <c r="G29" s="68">
        <f>IF('1. Calcul Avec prov'!J17="Oui",45,0)</f>
        <v>45</v>
      </c>
      <c r="I29" s="13" t="s">
        <v>129</v>
      </c>
      <c r="J29" s="209"/>
      <c r="K29" s="210"/>
      <c r="L29" s="14">
        <v>27.85</v>
      </c>
      <c r="M29" s="14">
        <v>119.91</v>
      </c>
      <c r="N29" s="15">
        <v>147.76</v>
      </c>
      <c r="O29" s="14">
        <v>27.85</v>
      </c>
      <c r="P29" s="14">
        <v>149.66</v>
      </c>
      <c r="Q29" s="15">
        <v>177.51</v>
      </c>
      <c r="R29" s="14">
        <v>27.85</v>
      </c>
      <c r="S29" s="14">
        <v>170.58</v>
      </c>
      <c r="T29" s="16">
        <v>198.43</v>
      </c>
    </row>
    <row r="30" spans="1:20" x14ac:dyDescent="0.3">
      <c r="A30" s="67" t="s">
        <v>138</v>
      </c>
      <c r="B30" s="67" t="s">
        <v>139</v>
      </c>
      <c r="C30" s="68">
        <f>+E10</f>
        <v>5536.2473454789315</v>
      </c>
      <c r="D30" s="69">
        <v>0</v>
      </c>
      <c r="E30" s="68">
        <f>+C30*D30</f>
        <v>0</v>
      </c>
      <c r="F30" s="69">
        <v>1.6000000000000001E-4</v>
      </c>
      <c r="G30" s="68">
        <f>+C30*F30</f>
        <v>0.88579957527662911</v>
      </c>
    </row>
    <row r="31" spans="1:20" x14ac:dyDescent="0.3">
      <c r="A31" s="67" t="s">
        <v>141</v>
      </c>
      <c r="B31" s="67" t="s">
        <v>142</v>
      </c>
      <c r="C31" s="68">
        <f>+E10</f>
        <v>5536.2473454789315</v>
      </c>
      <c r="D31" s="69">
        <v>0</v>
      </c>
      <c r="E31" s="68">
        <f>+C31*D31</f>
        <v>0</v>
      </c>
      <c r="F31" s="69">
        <v>6.7999999999999996E-3</v>
      </c>
      <c r="G31" s="68">
        <f>+C31*F31</f>
        <v>37.646481949256732</v>
      </c>
    </row>
    <row r="32" spans="1:20" ht="15" x14ac:dyDescent="0.35">
      <c r="A32" s="67" t="s">
        <v>143</v>
      </c>
      <c r="B32" s="67" t="s">
        <v>144</v>
      </c>
      <c r="C32" s="68">
        <f>+E10</f>
        <v>5536.2473454789315</v>
      </c>
      <c r="D32" s="69">
        <v>0</v>
      </c>
      <c r="E32" s="68">
        <f>+C32*D32</f>
        <v>0</v>
      </c>
      <c r="F32" s="69">
        <v>1E-4</v>
      </c>
      <c r="G32" s="68">
        <f>+C32*F32</f>
        <v>0.55362473454789318</v>
      </c>
      <c r="K32" s="12" t="s">
        <v>32</v>
      </c>
      <c r="L32" s="12" t="s">
        <v>140</v>
      </c>
    </row>
    <row r="33" spans="1:17" x14ac:dyDescent="0.3">
      <c r="A33" s="67" t="s">
        <v>145</v>
      </c>
      <c r="B33" s="67" t="s">
        <v>146</v>
      </c>
      <c r="C33" s="68">
        <f>E10</f>
        <v>5536.2473454789315</v>
      </c>
      <c r="D33" s="69">
        <v>0</v>
      </c>
      <c r="E33" s="68">
        <f>+C33*D33</f>
        <v>0</v>
      </c>
      <c r="F33" s="69">
        <v>4.0000000000000002E-4</v>
      </c>
      <c r="G33" s="68">
        <f>+C33*F33</f>
        <v>2.2144989381915727</v>
      </c>
      <c r="K33" s="98" t="s">
        <v>33</v>
      </c>
      <c r="L33" s="98">
        <f>$V$6*$D29</f>
        <v>0</v>
      </c>
    </row>
    <row r="34" spans="1:17" x14ac:dyDescent="0.3">
      <c r="A34" s="67" t="s">
        <v>147</v>
      </c>
      <c r="B34" s="67" t="s">
        <v>148</v>
      </c>
      <c r="C34" s="68">
        <f>+E10</f>
        <v>5536.2473454789315</v>
      </c>
      <c r="D34" s="69">
        <v>0</v>
      </c>
      <c r="E34" s="68">
        <f t="shared" si="0"/>
        <v>0</v>
      </c>
      <c r="F34" s="69">
        <v>1.6E-2</v>
      </c>
      <c r="G34" s="68">
        <f t="shared" si="1"/>
        <v>88.579957527662913</v>
      </c>
      <c r="K34" s="98" t="s">
        <v>121</v>
      </c>
      <c r="L34" s="98"/>
    </row>
    <row r="35" spans="1:17" x14ac:dyDescent="0.3">
      <c r="A35" s="67" t="s">
        <v>191</v>
      </c>
      <c r="B35" s="67" t="s">
        <v>149</v>
      </c>
      <c r="C35" s="68">
        <f>+E10</f>
        <v>5536.2473454789315</v>
      </c>
      <c r="D35" s="69">
        <v>0</v>
      </c>
      <c r="E35" s="68">
        <f>+C35*D35</f>
        <v>0</v>
      </c>
      <c r="F35" s="69">
        <f>0.45%</f>
        <v>4.5000000000000005E-3</v>
      </c>
      <c r="G35" s="68">
        <f>+C35*F35</f>
        <v>24.913113054655195</v>
      </c>
      <c r="H35" t="s">
        <v>150</v>
      </c>
    </row>
    <row r="36" spans="1:17" x14ac:dyDescent="0.3">
      <c r="A36" s="67"/>
      <c r="B36" s="67" t="s">
        <v>151</v>
      </c>
      <c r="C36" s="68">
        <f>E10</f>
        <v>5536.2473454789315</v>
      </c>
      <c r="D36" s="69">
        <v>0</v>
      </c>
      <c r="E36" s="68">
        <f t="shared" ref="E36" si="2">+C36*D36</f>
        <v>0</v>
      </c>
      <c r="F36" s="69" t="e">
        <f>tx_taxe_transport/100</f>
        <v>#REF!</v>
      </c>
      <c r="G36" s="68" t="e">
        <f t="shared" ref="G36" si="3">+C36*F36</f>
        <v>#REF!</v>
      </c>
      <c r="H36" t="s">
        <v>152</v>
      </c>
    </row>
    <row r="37" spans="1:17" x14ac:dyDescent="0.3">
      <c r="A37" s="67" t="s">
        <v>153</v>
      </c>
      <c r="B37" s="67" t="s">
        <v>154</v>
      </c>
      <c r="C37" s="68">
        <f>IF(($E$10/151.67)&gt;(B2*3.4609),$E$10,0)</f>
        <v>0</v>
      </c>
      <c r="D37" s="69">
        <v>0</v>
      </c>
      <c r="E37" s="68">
        <f>+C37*D37</f>
        <v>0</v>
      </c>
      <c r="F37" s="69">
        <v>1.7999999999999999E-2</v>
      </c>
      <c r="G37" s="68">
        <f>+C37*F37</f>
        <v>0</v>
      </c>
    </row>
    <row r="38" spans="1:17" x14ac:dyDescent="0.3">
      <c r="A38" s="67" t="s">
        <v>155</v>
      </c>
      <c r="B38" s="67" t="s">
        <v>156</v>
      </c>
      <c r="C38" s="68">
        <f>+C39</f>
        <v>5517.431107376774</v>
      </c>
      <c r="D38" s="69">
        <v>2.9000000000000001E-2</v>
      </c>
      <c r="E38" s="68">
        <f>+C38*D38</f>
        <v>160.00550211392644</v>
      </c>
      <c r="F38" s="69">
        <v>0</v>
      </c>
      <c r="G38" s="68">
        <f>+C38*F38</f>
        <v>0</v>
      </c>
      <c r="K38" s="13" t="s">
        <v>188</v>
      </c>
      <c r="L38" s="17" t="s">
        <v>181</v>
      </c>
      <c r="P38" s="29" t="s">
        <v>32</v>
      </c>
      <c r="Q38" s="39" t="s">
        <v>192</v>
      </c>
    </row>
    <row r="39" spans="1:17" x14ac:dyDescent="0.3">
      <c r="A39" s="67" t="s">
        <v>157</v>
      </c>
      <c r="B39" s="67" t="s">
        <v>158</v>
      </c>
      <c r="C39" s="68">
        <f>+($E$10-($E$10*1.75%))+$G$27+$G$28+$G$29</f>
        <v>5517.431107376774</v>
      </c>
      <c r="D39" s="69">
        <v>6.8000000000000005E-2</v>
      </c>
      <c r="E39" s="68">
        <f>+C39*D39</f>
        <v>375.18531530162068</v>
      </c>
      <c r="F39" s="69">
        <v>0</v>
      </c>
      <c r="G39" s="68">
        <f>+C39*F39</f>
        <v>0</v>
      </c>
      <c r="K39" s="13" t="s">
        <v>188</v>
      </c>
      <c r="L39" s="17" t="s">
        <v>182</v>
      </c>
      <c r="P39" t="str">
        <f t="shared" ref="P39:P47" si="4">CONCATENATE(K38," ",L38)</f>
        <v>Isolé SOCLE</v>
      </c>
      <c r="Q39" s="18">
        <f>M27</f>
        <v>19.18</v>
      </c>
    </row>
    <row r="40" spans="1:17" x14ac:dyDescent="0.3">
      <c r="A40" s="6" t="s">
        <v>72</v>
      </c>
      <c r="B40" s="6" t="s">
        <v>159</v>
      </c>
      <c r="C40" s="6" t="s">
        <v>72</v>
      </c>
      <c r="D40" s="6"/>
      <c r="E40" s="7">
        <f>SUM(E12:E39)-E38</f>
        <v>1026.5346827543981</v>
      </c>
      <c r="F40" s="7"/>
      <c r="G40" s="20"/>
      <c r="K40" s="13" t="s">
        <v>188</v>
      </c>
      <c r="L40" s="17" t="s">
        <v>183</v>
      </c>
      <c r="P40" t="str">
        <f t="shared" si="4"/>
        <v>Isolé OPTION 1</v>
      </c>
      <c r="Q40" s="18">
        <v>40.119999999999997</v>
      </c>
    </row>
    <row r="41" spans="1:17" x14ac:dyDescent="0.3">
      <c r="A41" s="6" t="s">
        <v>72</v>
      </c>
      <c r="B41" s="6" t="s">
        <v>160</v>
      </c>
      <c r="C41" s="6" t="s">
        <v>72</v>
      </c>
      <c r="D41" s="6"/>
      <c r="E41" s="7">
        <f>+E38</f>
        <v>160.00550211392644</v>
      </c>
      <c r="F41" s="7"/>
      <c r="G41" s="8" t="s">
        <v>72</v>
      </c>
      <c r="K41" s="13" t="s">
        <v>190</v>
      </c>
      <c r="L41" s="17" t="s">
        <v>181</v>
      </c>
      <c r="P41" t="str">
        <f t="shared" si="4"/>
        <v>Isolé OPTION 2</v>
      </c>
      <c r="Q41" s="18">
        <v>47.89</v>
      </c>
    </row>
    <row r="42" spans="1:17" x14ac:dyDescent="0.3">
      <c r="A42" s="6" t="s">
        <v>72</v>
      </c>
      <c r="B42" s="6" t="s">
        <v>161</v>
      </c>
      <c r="C42" s="6" t="s">
        <v>72</v>
      </c>
      <c r="D42" s="6"/>
      <c r="E42" s="7">
        <f>E40+E41</f>
        <v>1186.5401848683246</v>
      </c>
      <c r="F42" s="21"/>
      <c r="G42" s="20" t="e">
        <f>SUM(G12:G39)</f>
        <v>#REF!</v>
      </c>
      <c r="H42" s="107" t="e">
        <f>G42/E10</f>
        <v>#REF!</v>
      </c>
      <c r="K42" s="13" t="s">
        <v>190</v>
      </c>
      <c r="L42" s="17" t="s">
        <v>182</v>
      </c>
      <c r="P42" t="str">
        <f t="shared" si="4"/>
        <v>Duo  SOCLE</v>
      </c>
      <c r="Q42" s="18">
        <f>M28</f>
        <v>62.37</v>
      </c>
    </row>
    <row r="43" spans="1:17" x14ac:dyDescent="0.3">
      <c r="A43" s="22" t="s">
        <v>72</v>
      </c>
      <c r="B43" s="22" t="s">
        <v>193</v>
      </c>
      <c r="C43" s="22" t="s">
        <v>72</v>
      </c>
      <c r="D43" s="22"/>
      <c r="E43" s="23">
        <f>+E10-E42+E41</f>
        <v>4509.7126627245334</v>
      </c>
      <c r="F43" s="23"/>
      <c r="G43" s="24" t="s">
        <v>72</v>
      </c>
      <c r="K43" s="13" t="s">
        <v>190</v>
      </c>
      <c r="L43" s="17" t="s">
        <v>183</v>
      </c>
      <c r="P43" t="str">
        <f t="shared" si="4"/>
        <v>Duo  OPTION 1</v>
      </c>
      <c r="Q43" s="18">
        <f>P28</f>
        <v>80.680000000000007</v>
      </c>
    </row>
    <row r="44" spans="1:17" x14ac:dyDescent="0.3">
      <c r="A44" s="25" t="s">
        <v>72</v>
      </c>
      <c r="B44" s="25" t="s">
        <v>165</v>
      </c>
      <c r="C44" s="25" t="s">
        <v>72</v>
      </c>
      <c r="D44" s="25"/>
      <c r="E44" s="26">
        <f>E10-E42-'1. Calcul Avec prov'!J13</f>
        <v>4250.7071606106074</v>
      </c>
      <c r="F44" s="26"/>
      <c r="G44" s="27" t="s">
        <v>72</v>
      </c>
      <c r="K44" s="13" t="s">
        <v>129</v>
      </c>
      <c r="L44" s="17" t="s">
        <v>181</v>
      </c>
      <c r="P44" t="str">
        <f t="shared" si="4"/>
        <v>Duo  OPTION 2</v>
      </c>
      <c r="Q44" s="18">
        <f>S28</f>
        <v>93.43</v>
      </c>
    </row>
    <row r="45" spans="1:17" x14ac:dyDescent="0.3">
      <c r="A45" s="25"/>
      <c r="B45" s="25" t="s">
        <v>194</v>
      </c>
      <c r="C45" s="25"/>
      <c r="D45" s="25"/>
      <c r="E45" s="26">
        <f>E44+'2. Calcul Sans prov'!J11</f>
        <v>4250.7071606106074</v>
      </c>
      <c r="F45" s="26"/>
      <c r="G45" s="27"/>
      <c r="K45" s="13" t="s">
        <v>129</v>
      </c>
      <c r="L45" s="17" t="s">
        <v>182</v>
      </c>
      <c r="P45" t="str">
        <f t="shared" si="4"/>
        <v>Famille  SOCLE</v>
      </c>
      <c r="Q45" s="18">
        <f>M29</f>
        <v>119.91</v>
      </c>
    </row>
    <row r="46" spans="1:17" x14ac:dyDescent="0.3">
      <c r="A46" s="22" t="s">
        <v>72</v>
      </c>
      <c r="B46" s="22" t="s">
        <v>195</v>
      </c>
      <c r="C46" s="22" t="s">
        <v>72</v>
      </c>
      <c r="D46" s="22"/>
      <c r="E46" s="23" t="e">
        <f>+E10+G42</f>
        <v>#REF!</v>
      </c>
      <c r="F46" s="23"/>
      <c r="G46" s="24" t="s">
        <v>72</v>
      </c>
      <c r="K46" s="13" t="s">
        <v>129</v>
      </c>
      <c r="L46" s="17" t="s">
        <v>183</v>
      </c>
      <c r="P46" t="str">
        <f t="shared" si="4"/>
        <v>Famille  OPTION 1</v>
      </c>
      <c r="Q46" s="18">
        <f>P29</f>
        <v>149.66</v>
      </c>
    </row>
    <row r="47" spans="1:17" x14ac:dyDescent="0.3">
      <c r="A47" s="25" t="s">
        <v>72</v>
      </c>
      <c r="B47" s="25" t="s">
        <v>169</v>
      </c>
      <c r="C47" s="25" t="s">
        <v>72</v>
      </c>
      <c r="D47" s="25"/>
      <c r="E47" s="26">
        <f>E44-'2. Calcul Sans prov'!K18</f>
        <v>3825.6364445495465</v>
      </c>
      <c r="F47" s="26"/>
      <c r="G47" s="27" t="s">
        <v>72</v>
      </c>
      <c r="P47" t="str">
        <f t="shared" si="4"/>
        <v>Famille  OPTION 2</v>
      </c>
      <c r="Q47" s="18">
        <f>S29</f>
        <v>170.58</v>
      </c>
    </row>
    <row r="48" spans="1:17" x14ac:dyDescent="0.3">
      <c r="G48" s="1"/>
    </row>
    <row r="49" spans="2:11" hidden="1" x14ac:dyDescent="0.3">
      <c r="B49" t="s">
        <v>173</v>
      </c>
      <c r="C49" s="11">
        <f>+E42/E10</f>
        <v>0.21432210499722154</v>
      </c>
      <c r="G49" s="1"/>
    </row>
    <row r="50" spans="2:11" x14ac:dyDescent="0.3">
      <c r="B50" t="s">
        <v>175</v>
      </c>
      <c r="C50" s="11" t="e">
        <f>+G42/E10</f>
        <v>#REF!</v>
      </c>
      <c r="G50" s="1"/>
      <c r="K50" t="s">
        <v>196</v>
      </c>
    </row>
    <row r="51" spans="2:11" x14ac:dyDescent="0.3">
      <c r="K51" t="s">
        <v>197</v>
      </c>
    </row>
    <row r="52" spans="2:11" x14ac:dyDescent="0.3">
      <c r="K52" t="s">
        <v>174</v>
      </c>
    </row>
  </sheetData>
  <mergeCells count="7">
    <mergeCell ref="R25:T25"/>
    <mergeCell ref="J26:K26"/>
    <mergeCell ref="J27:K29"/>
    <mergeCell ref="A1:G1"/>
    <mergeCell ref="C3:G3"/>
    <mergeCell ref="L25:N25"/>
    <mergeCell ref="O25:Q25"/>
  </mergeCells>
  <pageMargins left="0.7" right="0.7" top="0.75" bottom="0.75" header="0.3" footer="0.3"/>
  <customProperties>
    <customPr name="OrphanNamesChecked" r:id="rId1"/>
  </customPropertie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EA6B28D1C95D04891DFC1820D7B2B92" ma:contentTypeVersion="8" ma:contentTypeDescription="Crée un document." ma:contentTypeScope="" ma:versionID="15a4585d3f3009bc90095c67c5fdca89">
  <xsd:schema xmlns:xsd="http://www.w3.org/2001/XMLSchema" xmlns:xs="http://www.w3.org/2001/XMLSchema" xmlns:p="http://schemas.microsoft.com/office/2006/metadata/properties" xmlns:ns2="192e136c-2db4-4e41-b56f-7cfc7944e161" targetNamespace="http://schemas.microsoft.com/office/2006/metadata/properties" ma:root="true" ma:fieldsID="dc60cd1776761dd5d2abf4dc63fc7cc5" ns2:_="">
    <xsd:import namespace="192e136c-2db4-4e41-b56f-7cfc7944e1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2e136c-2db4-4e41-b56f-7cfc7944e1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76059B6-FFD9-4928-853C-395C5CC4FA45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07B8251-B6FF-48D5-9A6C-3077FE35E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92e136c-2db4-4e41-b56f-7cfc7944e1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40D9F4D-3E45-41B2-95B2-B0A7F414EBD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1961D41-5820-44A9-91AB-F495F5F6081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HOW TO USE</vt:lpstr>
      <vt:lpstr>1. Calcul Avec prov</vt:lpstr>
      <vt:lpstr>2. Calcul Sans prov</vt:lpstr>
      <vt:lpstr>3. Template</vt:lpstr>
      <vt:lpstr>Glossaire</vt:lpstr>
      <vt:lpstr>BS . Avec prov</vt:lpstr>
      <vt:lpstr>BS . Sans prov</vt:lpstr>
      <vt:lpstr>tx_taxe_transport</vt:lpstr>
      <vt:lpstr>'3. Template'!Zone_d_impression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ANARCY</dc:creator>
  <cp:keywords/>
  <dc:description/>
  <cp:lastModifiedBy>lucas blanchet</cp:lastModifiedBy>
  <cp:revision/>
  <dcterms:created xsi:type="dcterms:W3CDTF">2019-04-29T15:16:48Z</dcterms:created>
  <dcterms:modified xsi:type="dcterms:W3CDTF">2025-03-05T12:17:40Z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0x0101001EA6B28D1C95D04891DFC1820D7B2B92</vt:lpwstr>
  </property>
</Properties>
</file>